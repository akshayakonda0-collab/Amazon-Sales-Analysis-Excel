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6350" firstSheet="10" activeTab="15"/>
  </bookViews>
  <sheets>
    <sheet name="Sheet4" sheetId="5" r:id="rId1"/>
    <sheet name="Sheet1" sheetId="2" r:id="rId2"/>
    <sheet name="Sheet3" sheetId="4" r:id="rId3"/>
    <sheet name="Sheet2" sheetId="3" r:id="rId4"/>
    <sheet name="Sheet5" sheetId="6" r:id="rId5"/>
    <sheet name="Sheet7" sheetId="8" r:id="rId6"/>
    <sheet name="Sheet6" sheetId="9" r:id="rId7"/>
    <sheet name="Sheet8" sheetId="10" r:id="rId8"/>
    <sheet name="Sheet9" sheetId="11" r:id="rId9"/>
    <sheet name="Sheet10" sheetId="12" r:id="rId10"/>
    <sheet name="Sheet11" sheetId="13" r:id="rId11"/>
    <sheet name="Sheet12" sheetId="14" r:id="rId12"/>
    <sheet name="Sheet13" sheetId="15" r:id="rId13"/>
    <sheet name="Sheet14" sheetId="16" r:id="rId14"/>
    <sheet name="SalesData" sheetId="1" r:id="rId15"/>
    <sheet name="Amazon Dashboard" sheetId="7" r:id="rId16"/>
  </sheets>
  <definedNames>
    <definedName name="_xlcn.WorksheetConnection_SalesDataAN1" hidden="1">SalesData!$A:$N</definedName>
    <definedName name="_xlcn.WorksheetConnection_SalesDataO1O211" hidden="1">SalesData!$O$1:$O$21</definedName>
    <definedName name="Slicer_Category">#N/A</definedName>
    <definedName name="Slicer_City">#N/A</definedName>
    <definedName name="Slicer_OrderStatus">#N/A</definedName>
    <definedName name="Slicer_PaymentMethod">#N/A</definedName>
  </definedNames>
  <calcPr calcId="162913"/>
  <pivotCaches>
    <pivotCache cacheId="1" r:id="rId17"/>
    <pivotCache cacheId="2" r:id="rId18"/>
    <pivotCache cacheId="10" r:id="rId19"/>
    <pivotCache cacheId="4" r:id="rId20"/>
    <pivotCache cacheId="5" r:id="rId21"/>
    <pivotCache cacheId="6" r:id="rId22"/>
    <pivotCache cacheId="7" r:id="rId23"/>
  </pivotCaches>
  <fileRecoveryPr repairLoad="1"/>
  <extLst>
    <ext xmlns:x14="http://schemas.microsoft.com/office/spreadsheetml/2009/9/main" uri="{BBE1A952-AA13-448e-AADC-164F8A28A991}">
      <x14:slicerCaches>
        <x14:slicerCache r:id="rId24"/>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alesData!$O$1:$O$21"/>
          <x15:modelTable id="Range1" name="Range1" connection="WorksheetConnection_SalesData!$A:$N"/>
        </x15:modelTables>
      </x15:dataModel>
    </ext>
  </extLst>
</workbook>
</file>

<file path=xl/calcChain.xml><?xml version="1.0" encoding="utf-8"?>
<calcChain xmlns="http://schemas.openxmlformats.org/spreadsheetml/2006/main">
  <c r="O21" i="1" l="1"/>
  <c r="O20" i="1"/>
  <c r="O19" i="1"/>
  <c r="O18" i="1"/>
  <c r="O17" i="1"/>
  <c r="O16" i="1"/>
  <c r="O15" i="1"/>
  <c r="O14" i="1"/>
  <c r="O13" i="1"/>
  <c r="O12" i="1"/>
  <c r="O11" i="1"/>
  <c r="O10" i="1"/>
  <c r="O9" i="1"/>
  <c r="O8" i="1"/>
  <c r="O7" i="1"/>
  <c r="O6" i="1"/>
  <c r="O5" i="1"/>
  <c r="O4" i="1"/>
  <c r="O3" i="1"/>
  <c r="O2"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SalesData!$A:$N" type="102" refreshedVersion="6" minRefreshableVersion="5">
    <extLst>
      <ext xmlns:x15="http://schemas.microsoft.com/office/spreadsheetml/2010/11/main" uri="{DE250136-89BD-433C-8126-D09CA5730AF9}">
        <x15:connection id="Range1" autoDelete="1">
          <x15:rangePr sourceName="_xlcn.WorksheetConnection_SalesDataAN1"/>
        </x15:connection>
      </ext>
    </extLst>
  </connection>
  <connection id="3" name="WorksheetConnection_SalesData!$O$1:$O$21" type="102" refreshedVersion="6" minRefreshableVersion="5">
    <extLst>
      <ext xmlns:x15="http://schemas.microsoft.com/office/spreadsheetml/2010/11/main" uri="{DE250136-89BD-433C-8126-D09CA5730AF9}">
        <x15:connection id="Range" autoDelete="1">
          <x15:rangePr sourceName="_xlcn.WorksheetConnection_SalesDataO1O211"/>
        </x15:connection>
      </ext>
    </extLst>
  </connection>
</connections>
</file>

<file path=xl/sharedStrings.xml><?xml version="1.0" encoding="utf-8"?>
<sst xmlns="http://schemas.openxmlformats.org/spreadsheetml/2006/main" count="274" uniqueCount="121">
  <si>
    <t>OrderID</t>
  </si>
  <si>
    <t>OrderDate</t>
  </si>
  <si>
    <t>CustomerName</t>
  </si>
  <si>
    <t>City</t>
  </si>
  <si>
    <t>Category</t>
  </si>
  <si>
    <t>Product</t>
  </si>
  <si>
    <t>Brand</t>
  </si>
  <si>
    <t>Quantity</t>
  </si>
  <si>
    <t>UnitPrice</t>
  </si>
  <si>
    <t>Discount</t>
  </si>
  <si>
    <t>ShippingCost</t>
  </si>
  <si>
    <t>PaymentMethod</t>
  </si>
  <si>
    <t>OrderStatus</t>
  </si>
  <si>
    <t>Sales</t>
  </si>
  <si>
    <t>2026-01-05</t>
  </si>
  <si>
    <t>Akash</t>
  </si>
  <si>
    <t>Hyderabad</t>
  </si>
  <si>
    <t>Electronics</t>
  </si>
  <si>
    <t>Laptop</t>
  </si>
  <si>
    <t>Dell</t>
  </si>
  <si>
    <t>UPI</t>
  </si>
  <si>
    <t>Delivered</t>
  </si>
  <si>
    <t>2026-01-08</t>
  </si>
  <si>
    <t>Mumbai</t>
  </si>
  <si>
    <t>Furniture</t>
  </si>
  <si>
    <t>Chair</t>
  </si>
  <si>
    <t>Ikea</t>
  </si>
  <si>
    <t>Card</t>
  </si>
  <si>
    <t>2026-01-09</t>
  </si>
  <si>
    <t>Ravi</t>
  </si>
  <si>
    <t>Delhi</t>
  </si>
  <si>
    <t>Phone</t>
  </si>
  <si>
    <t>Samsung</t>
  </si>
  <si>
    <t>Cash</t>
  </si>
  <si>
    <t>2026-01-12</t>
  </si>
  <si>
    <t>Priya</t>
  </si>
  <si>
    <t>Chennai</t>
  </si>
  <si>
    <t>Clothing</t>
  </si>
  <si>
    <t>Shirt</t>
  </si>
  <si>
    <t>Levis</t>
  </si>
  <si>
    <t>Pending</t>
  </si>
  <si>
    <t>2026-02-02</t>
  </si>
  <si>
    <t>Rahul</t>
  </si>
  <si>
    <t>Mouse</t>
  </si>
  <si>
    <t>Logitech</t>
  </si>
  <si>
    <t>2026-02-10</t>
  </si>
  <si>
    <t>Kiran</t>
  </si>
  <si>
    <t>Bengaluru</t>
  </si>
  <si>
    <t>Home</t>
  </si>
  <si>
    <t>Mixer</t>
  </si>
  <si>
    <t>Philips</t>
  </si>
  <si>
    <t>NetBanking</t>
  </si>
  <si>
    <t>2026-02-18</t>
  </si>
  <si>
    <t>Anu</t>
  </si>
  <si>
    <t>Monitor</t>
  </si>
  <si>
    <t>LG</t>
  </si>
  <si>
    <t>Cancelled</t>
  </si>
  <si>
    <t>2026-03-01</t>
  </si>
  <si>
    <t>Meena</t>
  </si>
  <si>
    <t>Table</t>
  </si>
  <si>
    <t>2026-03-05</t>
  </si>
  <si>
    <t>Arjun</t>
  </si>
  <si>
    <t>Jeans</t>
  </si>
  <si>
    <t>2026-03-12</t>
  </si>
  <si>
    <t>Sita</t>
  </si>
  <si>
    <t>Tablet</t>
  </si>
  <si>
    <t>Lenovo</t>
  </si>
  <si>
    <t>2026-04-03</t>
  </si>
  <si>
    <t>Vikram</t>
  </si>
  <si>
    <t>Fan</t>
  </si>
  <si>
    <t>Usha</t>
  </si>
  <si>
    <t>2026-04-10</t>
  </si>
  <si>
    <t>Pooja</t>
  </si>
  <si>
    <t>HP</t>
  </si>
  <si>
    <t>2026-04-18</t>
  </si>
  <si>
    <t>Ajay</t>
  </si>
  <si>
    <t>Sofa</t>
  </si>
  <si>
    <t>2026-05-02</t>
  </si>
  <si>
    <t>Nisha</t>
  </si>
  <si>
    <t>Jacket</t>
  </si>
  <si>
    <t>Puma</t>
  </si>
  <si>
    <t>2026-05-15</t>
  </si>
  <si>
    <t>Rohit</t>
  </si>
  <si>
    <t>Earbuds</t>
  </si>
  <si>
    <t>Boat</t>
  </si>
  <si>
    <t>2026-05-20</t>
  </si>
  <si>
    <t>Kavya</t>
  </si>
  <si>
    <t>Iron</t>
  </si>
  <si>
    <t>2026-06-01</t>
  </si>
  <si>
    <t>Deepak</t>
  </si>
  <si>
    <t>Keyboard</t>
  </si>
  <si>
    <t>2026-06-11</t>
  </si>
  <si>
    <t>Sara</t>
  </si>
  <si>
    <t>Shelf</t>
  </si>
  <si>
    <t>2026-06-20</t>
  </si>
  <si>
    <t>Neha</t>
  </si>
  <si>
    <t>Apple</t>
  </si>
  <si>
    <t>2026-06-25</t>
  </si>
  <si>
    <t>Manoj</t>
  </si>
  <si>
    <t>Shoes</t>
  </si>
  <si>
    <t>Nike</t>
  </si>
  <si>
    <t>Rekha</t>
  </si>
  <si>
    <t>Row Labels</t>
  </si>
  <si>
    <t>Grand Total</t>
  </si>
  <si>
    <t>Sum of Sales</t>
  </si>
  <si>
    <t>Month</t>
  </si>
  <si>
    <t>April</t>
  </si>
  <si>
    <t>February</t>
  </si>
  <si>
    <t>January</t>
  </si>
  <si>
    <t>June</t>
  </si>
  <si>
    <t>March</t>
  </si>
  <si>
    <t>May</t>
  </si>
  <si>
    <t>Total Orders</t>
  </si>
  <si>
    <t>Total Quantity</t>
  </si>
  <si>
    <t>Average Sales</t>
  </si>
  <si>
    <t>AMAZON SALES ANALYSIS DASHBOARD</t>
  </si>
  <si>
    <t>Total Sales</t>
  </si>
  <si>
    <t>Average of Sales</t>
  </si>
  <si>
    <t>Count of Sales</t>
  </si>
  <si>
    <t>Sum of Quantity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</si>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</sst>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8"/>
      <color theme="1"/>
      <name val="Times New Roman"/>
      <family val="1"/>
    </font>
    <font>
      <b/>
      <sz val="11"/>
      <color theme="1"/>
      <name val="Times New Roman"/>
      <family val="1"/>
    </font>
    <font>
      <b/>
      <sz val="14"/>
      <color theme="1"/>
      <name val="Times New Roman"/>
      <family val="1"/>
    </font>
  </fonts>
  <fills count="3">
    <fill>
      <patternFill patternType="none"/>
    </fill>
    <fill>
      <patternFill patternType="gray125"/>
    </fill>
    <fill>
      <patternFill patternType="solid">
        <fgColor theme="3" tint="0.79998168889431442"/>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1" fillId="0" borderId="0" xfId="0" applyFont="1" applyAlignment="1">
      <alignment horizontal="center"/>
    </xf>
    <xf numFmtId="0" fontId="0" fillId="0" borderId="0" xfId="0" applyAlignment="1"/>
    <xf numFmtId="0" fontId="2" fillId="0" borderId="0" xfId="0" applyFont="1" applyAlignment="1">
      <alignment vertical="center"/>
    </xf>
    <xf numFmtId="0" fontId="3" fillId="0" borderId="0" xfId="0" applyFont="1" applyAlignment="1">
      <alignment vertical="center"/>
    </xf>
    <xf numFmtId="0" fontId="4" fillId="2" borderId="10" xfId="0" applyFont="1" applyFill="1" applyBorder="1" applyAlignment="1">
      <alignment horizontal="center" vertical="center"/>
    </xf>
    <xf numFmtId="0" fontId="4" fillId="2" borderId="10" xfId="0" applyNumberFormat="1" applyFont="1" applyFill="1" applyBorder="1" applyAlignment="1">
      <alignment horizontal="center" vertical="center"/>
    </xf>
  </cellXfs>
  <cellStyles count="1">
    <cellStyle name="Normal" xfId="0" builtinId="0"/>
  </cellStyles>
  <dxfs count="1592">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font>
        <b/>
      </font>
    </dxf>
    <dxf>
      <font>
        <b/>
      </font>
    </dxf>
    <dxf>
      <font>
        <b/>
      </font>
    </dxf>
    <dxf>
      <font>
        <b/>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b/>
      </font>
    </dxf>
    <dxf>
      <font>
        <b/>
      </font>
    </dxf>
    <dxf>
      <font>
        <b/>
      </font>
    </dxf>
    <dxf>
      <font>
        <b/>
      </font>
    </dxf>
    <dxf>
      <font>
        <sz val="14"/>
      </font>
    </dxf>
    <dxf>
      <font>
        <sz val="14"/>
      </font>
    </dxf>
    <dxf>
      <font>
        <sz val="14"/>
      </font>
    </dxf>
    <dxf>
      <font>
        <sz val="14"/>
      </font>
    </dxf>
    <dxf>
      <font>
        <name val="Times New Roman"/>
        <scheme val="none"/>
      </font>
    </dxf>
    <dxf>
      <font>
        <name val="Times New Roman"/>
        <scheme val="none"/>
      </font>
    </dxf>
    <dxf>
      <font>
        <name val="Times New Roman"/>
        <scheme val="none"/>
      </font>
    </dxf>
    <dxf>
      <font>
        <name val="Times New Roman"/>
        <scheme val="none"/>
      </font>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font>
        <sz val="14"/>
      </font>
    </dxf>
    <dxf>
      <font>
        <sz val="14"/>
      </font>
    </dxf>
    <dxf>
      <font>
        <sz val="14"/>
      </font>
    </dxf>
    <dxf>
      <font>
        <sz val="14"/>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font>
        <sz val="14"/>
      </font>
    </dxf>
    <dxf>
      <font>
        <sz val="14"/>
      </font>
    </dxf>
    <dxf>
      <font>
        <sz val="14"/>
      </font>
    </dxf>
    <dxf>
      <font>
        <sz val="14"/>
      </font>
    </dxf>
    <dxf>
      <font>
        <name val="Times New Roman"/>
        <scheme val="none"/>
      </font>
    </dxf>
    <dxf>
      <font>
        <name val="Times New Roman"/>
        <scheme val="none"/>
      </font>
    </dxf>
    <dxf>
      <font>
        <name val="Times New Roman"/>
        <scheme val="none"/>
      </font>
    </dxf>
    <dxf>
      <font>
        <name val="Times New Roman"/>
        <scheme val="none"/>
      </font>
    </dxf>
    <dxf>
      <font>
        <b/>
      </font>
    </dxf>
    <dxf>
      <font>
        <b/>
      </font>
    </dxf>
    <dxf>
      <font>
        <b/>
      </font>
    </dxf>
    <dxf>
      <font>
        <b/>
      </font>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sz val="14"/>
      </font>
    </dxf>
    <dxf>
      <font>
        <sz val="14"/>
      </font>
    </dxf>
    <dxf>
      <font>
        <sz val="14"/>
      </font>
    </dxf>
    <dxf>
      <font>
        <sz val="14"/>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font>
        <name val="Times New Roman"/>
        <scheme val="none"/>
      </font>
    </dxf>
    <dxf>
      <font>
        <name val="Times New Roman"/>
        <scheme val="none"/>
      </font>
    </dxf>
    <dxf>
      <font>
        <name val="Times New Roman"/>
        <scheme val="none"/>
      </font>
    </dxf>
    <dxf>
      <font>
        <name val="Times New Roman"/>
        <scheme val="none"/>
      </font>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font>
        <name val="Times New Roman"/>
        <scheme val="none"/>
      </font>
    </dxf>
    <dxf>
      <font>
        <name val="Times New Roman"/>
        <scheme val="none"/>
      </font>
    </dxf>
    <dxf>
      <font>
        <name val="Times New Roman"/>
        <scheme val="none"/>
      </font>
    </dxf>
    <dxf>
      <font>
        <name val="Times New Roman"/>
        <scheme val="none"/>
      </font>
    </dxf>
    <dxf>
      <alignment vertic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horizontal="center" readingOrder="0"/>
    </dxf>
    <dxf>
      <font>
        <sz val="14"/>
      </font>
    </dxf>
    <dxf>
      <font>
        <sz val="14"/>
      </font>
    </dxf>
    <dxf>
      <font>
        <sz val="14"/>
      </font>
    </dxf>
    <dxf>
      <font>
        <sz val="14"/>
      </font>
    </dxf>
    <dxf>
      <font>
        <b/>
      </font>
    </dxf>
    <dxf>
      <font>
        <b/>
      </font>
    </dxf>
    <dxf>
      <font>
        <b/>
      </font>
    </dxf>
    <dxf>
      <font>
        <b/>
      </font>
    </dxf>
    <dxf>
      <font>
        <b/>
      </font>
    </dxf>
    <dxf>
      <font>
        <b/>
      </font>
    </dxf>
    <dxf>
      <font>
        <b/>
      </font>
    </dxf>
    <dxf>
      <font>
        <b/>
      </font>
    </dxf>
    <dxf>
      <font>
        <sz val="14"/>
      </font>
    </dxf>
    <dxf>
      <font>
        <sz val="14"/>
      </font>
    </dxf>
    <dxf>
      <font>
        <sz val="14"/>
      </font>
    </dxf>
    <dxf>
      <font>
        <sz val="14"/>
      </font>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font>
        <name val="Times New Roman"/>
        <scheme val="none"/>
      </font>
    </dxf>
    <dxf>
      <font>
        <name val="Times New Roman"/>
        <scheme val="none"/>
      </font>
    </dxf>
    <dxf>
      <font>
        <name val="Times New Roman"/>
        <scheme val="none"/>
      </font>
    </dxf>
    <dxf>
      <font>
        <name val="Times New Roman"/>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2.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4.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[Amazon-Sales-Analysis-Dashboard - Excel.xlsx]Sheet1!PivotTable2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strRef>
              <c:f>Sheet1!$A$4:$A$24</c:f>
              <c:strCache>
                <c:ptCount val="20"/>
                <c:pt idx="0">
                  <c:v>2026-06-25</c:v>
                </c:pt>
                <c:pt idx="1">
                  <c:v>2026-06-20</c:v>
                </c:pt>
                <c:pt idx="2">
                  <c:v>2026-06-11</c:v>
                </c:pt>
                <c:pt idx="3">
                  <c:v>2026-06-01</c:v>
                </c:pt>
                <c:pt idx="4">
                  <c:v>2026-05-20</c:v>
                </c:pt>
                <c:pt idx="5">
                  <c:v>2026-05-15</c:v>
                </c:pt>
                <c:pt idx="6">
                  <c:v>2026-05-02</c:v>
                </c:pt>
                <c:pt idx="7">
                  <c:v>2026-04-18</c:v>
                </c:pt>
                <c:pt idx="8">
                  <c:v>2026-04-10</c:v>
                </c:pt>
                <c:pt idx="9">
                  <c:v>2026-04-03</c:v>
                </c:pt>
                <c:pt idx="10">
                  <c:v>2026-03-12</c:v>
                </c:pt>
                <c:pt idx="11">
                  <c:v>2026-03-05</c:v>
                </c:pt>
                <c:pt idx="12">
                  <c:v>2026-03-01</c:v>
                </c:pt>
                <c:pt idx="13">
                  <c:v>2026-02-18</c:v>
                </c:pt>
                <c:pt idx="14">
                  <c:v>2026-02-10</c:v>
                </c:pt>
                <c:pt idx="15">
                  <c:v>2026-02-02</c:v>
                </c:pt>
                <c:pt idx="16">
                  <c:v>2026-01-12</c:v>
                </c:pt>
                <c:pt idx="17">
                  <c:v>2026-01-09</c:v>
                </c:pt>
                <c:pt idx="18">
                  <c:v>2026-01-08</c:v>
                </c:pt>
                <c:pt idx="19">
                  <c:v>2026-01-05</c:v>
                </c:pt>
              </c:strCache>
            </c:strRef>
          </c:cat>
          <c:val>
            <c:numRef>
              <c:f>Sheet1!$B$4:$B$24</c:f>
              <c:numCache>
                <c:formatCode>General</c:formatCode>
                <c:ptCount val="20"/>
                <c:pt idx="0">
                  <c:v>9000</c:v>
                </c:pt>
                <c:pt idx="1">
                  <c:v>71250</c:v>
                </c:pt>
                <c:pt idx="2">
                  <c:v>7225</c:v>
                </c:pt>
                <c:pt idx="3">
                  <c:v>2850</c:v>
                </c:pt>
                <c:pt idx="4">
                  <c:v>4048</c:v>
                </c:pt>
                <c:pt idx="5">
                  <c:v>4860</c:v>
                </c:pt>
                <c:pt idx="6">
                  <c:v>3200</c:v>
                </c:pt>
                <c:pt idx="7">
                  <c:v>22500</c:v>
                </c:pt>
                <c:pt idx="8">
                  <c:v>54560</c:v>
                </c:pt>
                <c:pt idx="9">
                  <c:v>5320</c:v>
                </c:pt>
                <c:pt idx="10">
                  <c:v>18040</c:v>
                </c:pt>
                <c:pt idx="11">
                  <c:v>4250</c:v>
                </c:pt>
                <c:pt idx="12">
                  <c:v>6300</c:v>
                </c:pt>
                <c:pt idx="13">
                  <c:v>16560</c:v>
                </c:pt>
                <c:pt idx="14">
                  <c:v>3960</c:v>
                </c:pt>
                <c:pt idx="15">
                  <c:v>1710</c:v>
                </c:pt>
                <c:pt idx="16">
                  <c:v>2880</c:v>
                </c:pt>
                <c:pt idx="17">
                  <c:v>25500</c:v>
                </c:pt>
                <c:pt idx="18">
                  <c:v>5700</c:v>
                </c:pt>
                <c:pt idx="19">
                  <c:v>50000</c:v>
                </c:pt>
              </c:numCache>
            </c:numRef>
          </c:val>
          <c:smooth val="0"/>
          <c:extLst>
            <c:ext xmlns:c16="http://schemas.microsoft.com/office/drawing/2014/chart" uri="{C3380CC4-5D6E-409C-BE32-E72D297353CC}">
              <c16:uniqueId val="{00000000-0F4D-41DD-8502-99E81DDE2BA1}"/>
            </c:ext>
          </c:extLst>
        </c:ser>
        <c:dLbls>
          <c:showLegendKey val="0"/>
          <c:showVal val="0"/>
          <c:showCatName val="0"/>
          <c:showSerName val="0"/>
          <c:showPercent val="0"/>
          <c:showBubbleSize val="0"/>
        </c:dLbls>
        <c:smooth val="0"/>
        <c:axId val="1559238976"/>
        <c:axId val="1559239392"/>
      </c:lineChart>
      <c:catAx>
        <c:axId val="155923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239392"/>
        <c:crosses val="autoZero"/>
        <c:auto val="1"/>
        <c:lblAlgn val="ctr"/>
        <c:lblOffset val="100"/>
        <c:noMultiLvlLbl val="0"/>
      </c:catAx>
      <c:valAx>
        <c:axId val="155923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23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[Amazon-Sales-Analysis-Dashboard - Excel.xlsx]Sheet6!PivotTable1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latin typeface="Times New Roman" panose="02020603050405020304" pitchFamily="18" charset="0"/>
                <a:cs typeface="Times New Roman" panose="02020603050405020304" pitchFamily="18" charset="0"/>
              </a:rPr>
              <a:t>📅 </a:t>
            </a:r>
            <a:r>
              <a:rPr lang="en-IN" sz="1400" b="1" i="0" u="none" strike="noStrike" baseline="0">
                <a:latin typeface="Times New Roman" panose="02020603050405020304" pitchFamily="18" charset="0"/>
                <a:cs typeface="Times New Roman" panose="02020603050405020304" pitchFamily="18" charset="0"/>
              </a:rPr>
              <a:t>Monthly Sales Trend</a:t>
            </a:r>
            <a:endParaRPr lang="en-US">
              <a:latin typeface="Times New Roman" panose="02020603050405020304" pitchFamily="18" charset="0"/>
              <a:cs typeface="Times New Roman" panose="02020603050405020304" pitchFamily="18" charset="0"/>
            </a:endParaRPr>
          </a:p>
        </c:rich>
      </c:tx>
      <c:layout>
        <c:manualLayout>
          <c:xMode val="edge"/>
          <c:yMode val="edge"/>
          <c:x val="0.32467341019321461"/>
          <c:y val="0.111430128756990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Sheet6!$A$4:$A$7</c:f>
              <c:strCache>
                <c:ptCount val="3"/>
                <c:pt idx="0">
                  <c:v>February</c:v>
                </c:pt>
                <c:pt idx="1">
                  <c:v>April</c:v>
                </c:pt>
                <c:pt idx="2">
                  <c:v>June</c:v>
                </c:pt>
              </c:strCache>
            </c:strRef>
          </c:cat>
          <c:val>
            <c:numRef>
              <c:f>Sheet6!$B$4:$B$7</c:f>
              <c:numCache>
                <c:formatCode>General</c:formatCode>
                <c:ptCount val="3"/>
                <c:pt idx="0">
                  <c:v>3960</c:v>
                </c:pt>
                <c:pt idx="1">
                  <c:v>54560</c:v>
                </c:pt>
                <c:pt idx="2">
                  <c:v>71250</c:v>
                </c:pt>
              </c:numCache>
            </c:numRef>
          </c:val>
          <c:extLst>
            <c:ext xmlns:c16="http://schemas.microsoft.com/office/drawing/2014/chart" uri="{C3380CC4-5D6E-409C-BE32-E72D297353CC}">
              <c16:uniqueId val="{00000000-2242-4261-822B-E7F076281C27}"/>
            </c:ext>
          </c:extLst>
        </c:ser>
        <c:dLbls>
          <c:showLegendKey val="0"/>
          <c:showVal val="0"/>
          <c:showCatName val="0"/>
          <c:showSerName val="0"/>
          <c:showPercent val="0"/>
          <c:showBubbleSize val="0"/>
        </c:dLbls>
        <c:gapWidth val="219"/>
        <c:overlap val="-27"/>
        <c:axId val="1139099599"/>
        <c:axId val="1139095439"/>
      </c:barChart>
      <c:catAx>
        <c:axId val="113909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95439"/>
        <c:crosses val="autoZero"/>
        <c:auto val="1"/>
        <c:lblAlgn val="ctr"/>
        <c:lblOffset val="100"/>
        <c:noMultiLvlLbl val="0"/>
      </c:catAx>
      <c:valAx>
        <c:axId val="11390954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0995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[Amazon-Sales-Analysis-Dashboard - Excel.xlsx]Sheet8!PivotTable2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 City</a:t>
            </a:r>
          </a:p>
        </c:rich>
      </c:tx>
      <c:layout>
        <c:manualLayout>
          <c:xMode val="edge"/>
          <c:yMode val="edge"/>
          <c:x val="0.33443660076210097"/>
          <c:y val="3.80246839652602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Sheet8!$B$3</c:f>
              <c:strCache>
                <c:ptCount val="1"/>
                <c:pt idx="0">
                  <c:v>Total</c:v>
                </c:pt>
              </c:strCache>
            </c:strRef>
          </c:tx>
          <c:spPr>
            <a:solidFill>
              <a:schemeClr val="accent1"/>
            </a:solidFill>
            <a:ln>
              <a:noFill/>
            </a:ln>
            <a:effectLst/>
          </c:spPr>
          <c:invertIfNegative val="0"/>
          <c:cat>
            <c:strRef>
              <c:f>Sheet8!$A$4:$A$5</c:f>
              <c:strCache>
                <c:ptCount val="1"/>
                <c:pt idx="0">
                  <c:v>Bengaluru</c:v>
                </c:pt>
              </c:strCache>
            </c:strRef>
          </c:cat>
          <c:val>
            <c:numRef>
              <c:f>Sheet8!$B$4:$B$5</c:f>
              <c:numCache>
                <c:formatCode>General</c:formatCode>
                <c:ptCount val="1"/>
                <c:pt idx="0">
                  <c:v>129770</c:v>
                </c:pt>
              </c:numCache>
            </c:numRef>
          </c:val>
          <c:extLst>
            <c:ext xmlns:c16="http://schemas.microsoft.com/office/drawing/2014/chart" uri="{C3380CC4-5D6E-409C-BE32-E72D297353CC}">
              <c16:uniqueId val="{00000000-524F-4EB6-9A18-99E8E8544122}"/>
            </c:ext>
          </c:extLst>
        </c:ser>
        <c:dLbls>
          <c:showLegendKey val="0"/>
          <c:showVal val="0"/>
          <c:showCatName val="0"/>
          <c:showSerName val="0"/>
          <c:showPercent val="0"/>
          <c:showBubbleSize val="0"/>
        </c:dLbls>
        <c:gapWidth val="219"/>
        <c:overlap val="-27"/>
        <c:axId val="1214187231"/>
        <c:axId val="1214188479"/>
      </c:barChart>
      <c:catAx>
        <c:axId val="121418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88479"/>
        <c:crosses val="autoZero"/>
        <c:auto val="1"/>
        <c:lblAlgn val="ctr"/>
        <c:lblOffset val="100"/>
        <c:noMultiLvlLbl val="0"/>
      </c:catAx>
      <c:valAx>
        <c:axId val="121418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8723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[Amazon-Sales-Analysis-Dashboard - Excel.xlsx]Sheet9!PivotTable3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 Category</a:t>
            </a:r>
          </a:p>
          <a:p>
            <a:pPr>
              <a:defRPr/>
            </a:pPr>
            <a:endParaRPr lang="en-US" b="1">
              <a:latin typeface="Times New Roman" panose="02020603050405020304" pitchFamily="18" charset="0"/>
              <a:cs typeface="Times New Roman" panose="02020603050405020304" pitchFamily="18"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Sheet9!$A$4:$A$6</c:f>
              <c:strCache>
                <c:ptCount val="2"/>
                <c:pt idx="0">
                  <c:v>Electronics</c:v>
                </c:pt>
                <c:pt idx="1">
                  <c:v>Home</c:v>
                </c:pt>
              </c:strCache>
            </c:strRef>
          </c:cat>
          <c:val>
            <c:numRef>
              <c:f>Sheet9!$B$4:$B$6</c:f>
              <c:numCache>
                <c:formatCode>General</c:formatCode>
                <c:ptCount val="2"/>
                <c:pt idx="0">
                  <c:v>125810</c:v>
                </c:pt>
                <c:pt idx="1">
                  <c:v>3960</c:v>
                </c:pt>
              </c:numCache>
            </c:numRef>
          </c:val>
          <c:extLst>
            <c:ext xmlns:c16="http://schemas.microsoft.com/office/drawing/2014/chart" uri="{C3380CC4-5D6E-409C-BE32-E72D297353CC}">
              <c16:uniqueId val="{00000000-E33A-41B3-9715-3E35DFC4DCDE}"/>
            </c:ext>
          </c:extLst>
        </c:ser>
        <c:dLbls>
          <c:showLegendKey val="0"/>
          <c:showVal val="0"/>
          <c:showCatName val="0"/>
          <c:showSerName val="0"/>
          <c:showPercent val="0"/>
          <c:showBubbleSize val="0"/>
        </c:dLbls>
        <c:gapWidth val="219"/>
        <c:overlap val="-27"/>
        <c:axId val="1214190559"/>
        <c:axId val="1214195967"/>
      </c:barChart>
      <c:catAx>
        <c:axId val="1214190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95967"/>
        <c:crosses val="autoZero"/>
        <c:auto val="1"/>
        <c:lblAlgn val="ctr"/>
        <c:lblOffset val="100"/>
        <c:noMultiLvlLbl val="0"/>
      </c:catAx>
      <c:valAx>
        <c:axId val="1214195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19055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[Amazon-Sales-Analysis-Dashboard - Excel.xlsx]Sheet10!PivotTable4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Sales by Brand</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Sheet10!$A$4:$A$7</c:f>
              <c:strCache>
                <c:ptCount val="3"/>
                <c:pt idx="0">
                  <c:v>Apple</c:v>
                </c:pt>
                <c:pt idx="1">
                  <c:v>HP</c:v>
                </c:pt>
                <c:pt idx="2">
                  <c:v>Philips</c:v>
                </c:pt>
              </c:strCache>
            </c:strRef>
          </c:cat>
          <c:val>
            <c:numRef>
              <c:f>Sheet10!$B$4:$B$7</c:f>
              <c:numCache>
                <c:formatCode>General</c:formatCode>
                <c:ptCount val="3"/>
                <c:pt idx="0">
                  <c:v>71250</c:v>
                </c:pt>
                <c:pt idx="1">
                  <c:v>54560</c:v>
                </c:pt>
                <c:pt idx="2">
                  <c:v>3960</c:v>
                </c:pt>
              </c:numCache>
            </c:numRef>
          </c:val>
          <c:extLst>
            <c:ext xmlns:c16="http://schemas.microsoft.com/office/drawing/2014/chart" uri="{C3380CC4-5D6E-409C-BE32-E72D297353CC}">
              <c16:uniqueId val="{00000000-4F9F-4092-BB94-E9B7846DD741}"/>
            </c:ext>
          </c:extLst>
        </c:ser>
        <c:dLbls>
          <c:showLegendKey val="0"/>
          <c:showVal val="0"/>
          <c:showCatName val="0"/>
          <c:showSerName val="0"/>
          <c:showPercent val="0"/>
          <c:showBubbleSize val="0"/>
        </c:dLbls>
        <c:gapWidth val="219"/>
        <c:overlap val="-27"/>
        <c:axId val="1222830783"/>
        <c:axId val="1222833279"/>
      </c:barChart>
      <c:catAx>
        <c:axId val="122283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33279"/>
        <c:crosses val="autoZero"/>
        <c:auto val="1"/>
        <c:lblAlgn val="ctr"/>
        <c:lblOffset val="100"/>
        <c:noMultiLvlLbl val="0"/>
      </c:catAx>
      <c:valAx>
        <c:axId val="122283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28307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1057274</xdr:colOff>
      <xdr:row>3</xdr:row>
      <xdr:rowOff>168275</xdr:rowOff>
    </xdr:from>
    <xdr:to>
      <xdr:col>10</xdr:col>
      <xdr:colOff>88899</xdr:colOff>
      <xdr:row>18</xdr:row>
      <xdr:rowOff>149225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615757</xdr:colOff>
      <xdr:row>3</xdr:row>
      <xdr:rowOff>153938</xdr:rowOff>
    </xdr:from>
    <xdr:to>
      <xdr:col>11</xdr:col>
      <xdr:colOff>0</xdr:colOff>
      <xdr:row>17</xdr:row>
      <xdr:rowOff>76969</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57727</xdr:colOff>
      <xdr:row>18</xdr:row>
      <xdr:rowOff>48106</xdr:rowOff>
    </xdr:from>
    <xdr:to>
      <xdr:col>4</xdr:col>
      <xdr:colOff>279015</xdr:colOff>
      <xdr:row>31</xdr:row>
      <xdr:rowOff>9621</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587087</xdr:colOff>
      <xdr:row>1</xdr:row>
      <xdr:rowOff>48684</xdr:rowOff>
    </xdr:from>
    <xdr:to>
      <xdr:col>22</xdr:col>
      <xdr:colOff>597478</xdr:colOff>
      <xdr:row>14</xdr:row>
      <xdr:rowOff>100157</xdr:rowOff>
    </xdr:to>
    <mc:AlternateContent xmlns:mc="http://schemas.openxmlformats.org/markup-compatibility/2006" xmlns:a14="http://schemas.microsoft.com/office/drawing/2010/main">
      <mc:Choice Requires="a14">
        <xdr:graphicFrame macro="">
          <xdr:nvGraphicFramePr>
            <xdr:cNvPr id="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4845723" y="751032"/>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48106</xdr:rowOff>
    </xdr:from>
    <xdr:to>
      <xdr:col>4</xdr:col>
      <xdr:colOff>298258</xdr:colOff>
      <xdr:row>17</xdr:row>
      <xdr:rowOff>145473</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625379</xdr:colOff>
      <xdr:row>18</xdr:row>
      <xdr:rowOff>57728</xdr:rowOff>
    </xdr:from>
    <xdr:to>
      <xdr:col>10</xdr:col>
      <xdr:colOff>1135303</xdr:colOff>
      <xdr:row>30</xdr:row>
      <xdr:rowOff>163560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490874</xdr:colOff>
      <xdr:row>1</xdr:row>
      <xdr:rowOff>39063</xdr:rowOff>
    </xdr:from>
    <xdr:to>
      <xdr:col>19</xdr:col>
      <xdr:colOff>501265</xdr:colOff>
      <xdr:row>14</xdr:row>
      <xdr:rowOff>90536</xdr:rowOff>
    </xdr:to>
    <mc:AlternateContent xmlns:mc="http://schemas.openxmlformats.org/markup-compatibility/2006" xmlns:a14="http://schemas.microsoft.com/office/drawing/2010/main">
      <mc:Choice Requires="a14">
        <xdr:graphicFrame macro="">
          <xdr:nvGraphicFramePr>
            <xdr:cNvPr id="4"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931101" y="74141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587087</xdr:colOff>
      <xdr:row>1</xdr:row>
      <xdr:rowOff>29442</xdr:rowOff>
    </xdr:from>
    <xdr:to>
      <xdr:col>16</xdr:col>
      <xdr:colOff>414675</xdr:colOff>
      <xdr:row>14</xdr:row>
      <xdr:rowOff>80915</xdr:rowOff>
    </xdr:to>
    <mc:AlternateContent xmlns:mc="http://schemas.openxmlformats.org/markup-compatibility/2006" xmlns:a14="http://schemas.microsoft.com/office/drawing/2010/main">
      <mc:Choice Requires="a14">
        <xdr:graphicFrame macro="">
          <xdr:nvGraphicFramePr>
            <xdr:cNvPr id="5"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026102" y="73179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154131</xdr:colOff>
      <xdr:row>1</xdr:row>
      <xdr:rowOff>29442</xdr:rowOff>
    </xdr:from>
    <xdr:to>
      <xdr:col>13</xdr:col>
      <xdr:colOff>510885</xdr:colOff>
      <xdr:row>14</xdr:row>
      <xdr:rowOff>80915</xdr:rowOff>
    </xdr:to>
    <mc:AlternateContent xmlns:mc="http://schemas.openxmlformats.org/markup-compatibility/2006" xmlns:a14="http://schemas.microsoft.com/office/drawing/2010/main">
      <mc:Choice Requires="a14">
        <xdr:graphicFrame macro="">
          <xdr:nvGraphicFramePr>
            <xdr:cNvPr id="7" name="OrderStatus"/>
            <xdr:cNvGraphicFramePr/>
          </xdr:nvGraphicFramePr>
          <xdr:xfrm>
            <a:off x="0" y="0"/>
            <a:ext cx="0" cy="0"/>
          </xdr:xfrm>
          <a:graphic>
            <a:graphicData uri="http://schemas.microsoft.com/office/drawing/2010/slicer">
              <sle:slicer xmlns:sle="http://schemas.microsoft.com/office/drawing/2010/slicer" name="OrderStatus"/>
            </a:graphicData>
          </a:graphic>
        </xdr:graphicFrame>
      </mc:Choice>
      <mc:Fallback xmlns="">
        <xdr:sp macro="" textlink="">
          <xdr:nvSpPr>
            <xdr:cNvPr id="0" name=""/>
            <xdr:cNvSpPr>
              <a:spLocks noTextEdit="1"/>
            </xdr:cNvSpPr>
          </xdr:nvSpPr>
          <xdr:spPr>
            <a:xfrm>
              <a:off x="9121101" y="73179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DELL" refreshedDate="46241.966648726855" createdVersion="6" refreshedVersion="6" minRefreshableVersion="3" recordCount="30">
  <cacheSource type="worksheet">
    <worksheetSource ref="A1:N1048576" sheet="SalesData"/>
  </cacheSource>
  <cacheFields count="14">
    <cacheField name="OrderID" numFmtId="0">
      <sharedItems containsString="0" containsBlank="1" containsNumber="1" containsInteger="1" minValue="1001" maxValue="1020"/>
    </cacheField>
    <cacheField name="OrderDate" numFmtId="0">
      <sharedItems containsBlank="1" count="21">
        <s v="2026-01-05"/>
        <s v="2026-01-08"/>
        <s v="2026-01-09"/>
        <s v="2026-01-12"/>
        <s v="2026-02-02"/>
        <s v="2026-02-10"/>
        <s v="2026-02-18"/>
        <s v="2026-03-01"/>
        <s v="2026-03-05"/>
        <s v="2026-03-12"/>
        <s v="2026-04-03"/>
        <s v="2026-04-10"/>
        <s v="2026-04-18"/>
        <s v="2026-05-02"/>
        <s v="2026-05-15"/>
        <s v="2026-05-20"/>
        <s v="2026-06-01"/>
        <s v="2026-06-11"/>
        <s v="2026-06-20"/>
        <s v="2026-06-25"/>
        <m/>
      </sharedItems>
    </cacheField>
    <cacheField name="CustomerName" numFmtId="0">
      <sharedItems containsBlank="1"/>
    </cacheField>
    <cacheField name="City" numFmtId="0">
      <sharedItems containsBlank="1" count="6">
        <s v="Hyderabad"/>
        <s v="Mumbai"/>
        <s v="Delhi"/>
        <s v="Chennai"/>
        <s v="Bengaluru"/>
        <m/>
      </sharedItems>
    </cacheField>
    <cacheField name="Category" numFmtId="0">
      <sharedItems containsBlank="1" count="5">
        <s v="Electronics"/>
        <s v="Furniture"/>
        <s v="Clothing"/>
        <s v="Home"/>
        <m/>
      </sharedItems>
    </cacheField>
    <cacheField name="Product" numFmtId="0">
      <sharedItems containsBlank="1"/>
    </cacheField>
    <cacheField name="Brand" numFmtId="0">
      <sharedItems containsBlank="1" count="15">
        <s v="Dell"/>
        <s v="Ikea"/>
        <s v="Samsung"/>
        <s v="Levis"/>
        <s v="Logitech"/>
        <s v="Philips"/>
        <s v="LG"/>
        <s v="Lenovo"/>
        <s v="Usha"/>
        <s v="HP"/>
        <s v="Puma"/>
        <s v="Boat"/>
        <s v="Apple"/>
        <s v="Nike"/>
        <m/>
      </sharedItems>
    </cacheField>
    <cacheField name="Quantity" numFmtId="0">
      <sharedItems containsString="0" containsBlank="1" containsNumber="1" containsInteger="1" minValue="1" maxValue="3"/>
    </cacheField>
    <cacheField name="UnitPrice" numFmtId="0">
      <sharedItems containsString="0" containsBlank="1" containsNumber="1" containsInteger="1" minValue="900" maxValue="75000"/>
    </cacheField>
    <cacheField name="Discount" numFmtId="0">
      <sharedItems containsString="0" containsBlank="1" containsNumber="1" containsInteger="1" minValue="5" maxValue="20"/>
    </cacheField>
    <cacheField name="ShippingCost" numFmtId="0">
      <sharedItems containsString="0" containsBlank="1" containsNumber="1" containsInteger="1" minValue="50" maxValue="600"/>
    </cacheField>
    <cacheField name="PaymentMethod" numFmtId="0">
      <sharedItems containsBlank="1" count="5">
        <s v="UPI"/>
        <s v="Card"/>
        <s v="Cash"/>
        <s v="NetBanking"/>
        <m/>
      </sharedItems>
    </cacheField>
    <cacheField name="OrderStatus" numFmtId="0">
      <sharedItems containsBlank="1" count="4">
        <s v="Delivered"/>
        <s v="Pending"/>
        <s v="Cancelled"/>
        <m/>
      </sharedItems>
    </cacheField>
    <cacheField name="Sales" numFmtId="0">
      <sharedItems containsString="0" containsBlank="1" containsNumber="1" containsInteger="1" minValue="1710" maxValue="71250"/>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242.560316087962" createdVersion="6" refreshedVersion="6" minRefreshableVersion="3" recordCount="20">
  <cacheSource type="worksheet">
    <worksheetSource ref="O1:O21" sheet="SalesData"/>
  </cacheSource>
  <cacheFields count="1">
    <cacheField name="Month"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242.562393518521" createdVersion="6" refreshedVersion="6" minRefreshableVersion="3" recordCount="20">
  <cacheSource type="worksheet">
    <worksheetSource ref="A1:O21" sheet="SalesData"/>
  </cacheSource>
  <cacheFields count="15">
    <cacheField name="OrderID" numFmtId="0">
      <sharedItems containsSemiMixedTypes="0" containsString="0" containsNumber="1" containsInteger="1" minValue="1001" maxValue="1020"/>
    </cacheField>
    <cacheField name="OrderDate" numFmtId="0">
      <sharedItems/>
    </cacheField>
    <cacheField name="CustomerName" numFmtId="0">
      <sharedItems/>
    </cacheField>
    <cacheField name="City" numFmtId="0">
      <sharedItems count="5">
        <s v="Hyderabad"/>
        <s v="Mumbai"/>
        <s v="Delhi"/>
        <s v="Chennai"/>
        <s v="Bengaluru"/>
      </sharedItems>
    </cacheField>
    <cacheField name="Category" numFmtId="0">
      <sharedItems count="4">
        <s v="Electronics"/>
        <s v="Furniture"/>
        <s v="Clothing"/>
        <s v="Home"/>
      </sharedItems>
    </cacheField>
    <cacheField name="Product" numFmtId="0">
      <sharedItems/>
    </cacheField>
    <cacheField name="Brand" numFmtId="0">
      <sharedItems count="14">
        <s v="Dell"/>
        <s v="Ikea"/>
        <s v="Samsung"/>
        <s v="Levis"/>
        <s v="Logitech"/>
        <s v="Philips"/>
        <s v="LG"/>
        <s v="Lenovo"/>
        <s v="Usha"/>
        <s v="HP"/>
        <s v="Puma"/>
        <s v="Boat"/>
        <s v="Apple"/>
        <s v="Nike"/>
      </sharedItems>
    </cacheField>
    <cacheField name="Quantity" numFmtId="0">
      <sharedItems containsSemiMixedTypes="0" containsString="0" containsNumber="1" containsInteger="1" minValue="1" maxValue="3"/>
    </cacheField>
    <cacheField name="UnitPrice" numFmtId="0">
      <sharedItems containsSemiMixedTypes="0" containsString="0" containsNumber="1" containsInteger="1" minValue="900" maxValue="75000"/>
    </cacheField>
    <cacheField name="Discount" numFmtId="0">
      <sharedItems containsSemiMixedTypes="0" containsString="0" containsNumber="1" containsInteger="1" minValue="5" maxValue="20"/>
    </cacheField>
    <cacheField name="ShippingCost" numFmtId="0">
      <sharedItems containsSemiMixedTypes="0" containsString="0" containsNumber="1" containsInteger="1" minValue="50" maxValue="600"/>
    </cacheField>
    <cacheField name="PaymentMethod" numFmtId="0">
      <sharedItems count="4">
        <s v="UPI"/>
        <s v="Card"/>
        <s v="Cash"/>
        <s v="NetBanking"/>
      </sharedItems>
    </cacheField>
    <cacheField name="OrderStatus" numFmtId="0">
      <sharedItems count="3">
        <s v="Delivered"/>
        <s v="Pending"/>
        <s v="Cancelled"/>
      </sharedItems>
    </cacheField>
    <cacheField name="Sales" numFmtId="0">
      <sharedItems containsSemiMixedTypes="0" containsString="0" containsNumber="1" containsInteger="1" minValue="1710" maxValue="71250"/>
    </cacheField>
    <cacheField name="Month" numFmtId="0">
      <sharedItems count="6">
        <s v="January"/>
        <s v="February"/>
        <s v="March"/>
        <s v="April"/>
        <s v="May"/>
        <s v="June"/>
      </sharedItems>
    </cacheField>
  </cacheFields>
  <extLst>
    <ext xmlns:x14="http://schemas.microsoft.com/office/spreadsheetml/2009/9/main" uri="{725AE2AE-9491-48be-B2B4-4EB974FC3084}">
      <x14:pivotCacheDefinition pivotCacheId="3"/>
    </ext>
  </extLst>
</pivotCacheDefinition>
</file>

<file path=xl/pivotCache/pivotCacheDefinition4.xml><?xml version="1.0" encoding="utf-8"?>
<pivotCacheDefinition xmlns="http://schemas.openxmlformats.org/spreadsheetml/2006/main" xmlns:r="http://schemas.openxmlformats.org/officeDocument/2006/relationships" saveData="0" refreshedBy="DELL" refreshedDate="46242.683948611113" backgroundQuery="1" createdVersion="6" refreshedVersion="6" minRefreshableVersion="3" recordCount="0" supportSubquery="1" supportAdvancedDrill="1">
  <cacheSource type="external" connectionId="1"/>
  <cacheFields count="2">
    <cacheField name="[Measures].[Sum of Sales]" caption="Sum of Sales" numFmtId="0" hierarchy="18" level="32767"/>
    <cacheField name="[Range].[Month].[Month]" caption="Month" numFmtId="0" level="1">
      <sharedItems count="6">
        <s v="April"/>
        <s v="February"/>
        <s v="January"/>
        <s v="June"/>
        <s v="March"/>
        <s v="May"/>
      </sharedItems>
    </cacheField>
  </cacheFields>
  <cacheHierarchies count="19">
    <cacheHierarchy uniqueName="[Range].[Month]" caption="Month" attribute="1" defaultMemberUniqueName="[Range].[Month].[All]" allUniqueName="[Range].[Month].[All]" dimensionUniqueName="[Range]" displayFolder="" count="2" memberValueDatatype="130" unbalanced="0">
      <fieldsUsage count="2">
        <fieldUsage x="-1"/>
        <fieldUsage x="1"/>
      </fieldsUsage>
    </cacheHierarchy>
    <cacheHierarchy uniqueName="[Range1].[OrderID]" caption="OrderID" attribute="1" defaultMemberUniqueName="[Range1].[OrderID].[All]" allUniqueName="[Range1].[OrderID].[All]" dimensionUniqueName="[Range1]" displayFolder="" count="0" memberValueDatatype="20" unbalanced="0"/>
    <cacheHierarchy uniqueName="[Range1].[OrderDate]" caption="OrderDate" attribute="1" defaultMemberUniqueName="[Range1].[OrderDate].[All]" allUniqueName="[Range1].[OrderDate].[All]" dimensionUniqueName="[Range1]" displayFolder="" count="2"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City]" caption="City" attribute="1" defaultMemberUniqueName="[Range1].[City].[All]" allUniqueName="[Range1].[City].[All]" dimensionUniqueName="[Range1]"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Product]" caption="Product" attribute="1" defaultMemberUniqueName="[Range1].[Product].[All]" allUniqueName="[Range1].[Product].[All]" dimensionUniqueName="[Range1]" displayFolder="" count="0" memberValueDatatype="130" unbalanced="0"/>
    <cacheHierarchy uniqueName="[Range1].[Brand]" caption="Brand" attribute="1" defaultMemberUniqueName="[Range1].[Brand].[All]" allUniqueName="[Range1].[Bran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 caption="UnitPrice" attribute="1" defaultMemberUniqueName="[Range1].[UnitPrice].[All]" allUniqueName="[Range1].[UnitPrice].[All]" dimensionUniqueName="[Range1]" displayFolder="" count="0" memberValueDatatype="20" unbalanced="0"/>
    <cacheHierarchy uniqueName="[Range1].[Discount]" caption="Discount" attribute="1" defaultMemberUniqueName="[Range1].[Discount].[All]" allUniqueName="[Range1].[Discount].[All]" dimensionUniqueName="[Range1]" displayFolder="" count="0" memberValueDatatype="20" unbalanced="0"/>
    <cacheHierarchy uniqueName="[Range1].[ShippingCost]" caption="ShippingCost" attribute="1" defaultMemberUniqueName="[Range1].[ShippingCost].[All]" allUniqueName="[Range1].[ShippingCost].[All]" dimensionUniqueName="[Range1]" displayFolder="" count="0" memberValueDatatype="20" unbalanced="0"/>
    <cacheHierarchy uniqueName="[Range1].[PaymentMethod]" caption="PaymentMethod" attribute="1" defaultMemberUniqueName="[Range1].[PaymentMethod].[All]" allUniqueName="[Range1].[PaymentMethod].[All]" dimensionUniqueName="[Range1]" displayFolder="" count="2" memberValueDatatype="130" unbalanced="0"/>
    <cacheHierarchy uniqueName="[Range1].[OrderStatus]" caption="OrderStatus" attribute="1" defaultMemberUniqueName="[Range1].[OrderStatus].[All]" allUniqueName="[Range1].[OrderStatus].[All]" dimensionUniqueName="[Range1]" displayFolder="" count="2" memberValueDatatype="130" unbalanced="0"/>
    <cacheHierarchy uniqueName="[Range1].[Sales]" caption="Sales" attribute="1" defaultMemberUniqueName="[Range1].[Sales].[All]" allUniqueName="[Range1].[Sales].[All]" dimensionUniqueName="[Range1]"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Sales]" caption="Sum of Sales"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Range1" uniqueName="[Range1]" caption="Range1"/>
  </dimensions>
  <measureGroups count="2">
    <measureGroup name="Range" caption="Range"/>
    <measureGroup name="Range1" caption="Rang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ELL" refreshedDate="46242.683948611113" backgroundQuery="1" createdVersion="6" refreshedVersion="6" minRefreshableVersion="3" recordCount="0" supportSubquery="1" supportAdvancedDrill="1">
  <cacheSource type="external" connectionId="1"/>
  <cacheFields count="0"/>
  <cacheHierarchies count="19">
    <cacheHierarchy uniqueName="[Range].[Month]" caption="Month" attribute="1" defaultMemberUniqueName="[Range].[Month].[All]" allUniqueName="[Range].[Month].[All]" dimensionUniqueName="[Range]" displayFolder="" count="0" memberValueDatatype="130" unbalanced="0"/>
    <cacheHierarchy uniqueName="[Range1].[OrderID]" caption="OrderID" attribute="1" defaultMemberUniqueName="[Range1].[OrderID].[All]" allUniqueName="[Range1].[OrderID].[All]" dimensionUniqueName="[Range1]" displayFolder="" count="0" memberValueDatatype="20" unbalanced="0"/>
    <cacheHierarchy uniqueName="[Range1].[OrderDate]" caption="OrderDate" attribute="1" defaultMemberUniqueName="[Range1].[OrderDate].[All]" allUniqueName="[Range1].[OrderDate].[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City]" caption="City" attribute="1" defaultMemberUniqueName="[Range1].[City].[All]" allUniqueName="[Range1].[City].[All]" dimensionUniqueName="[Range1]"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Product]" caption="Product" attribute="1" defaultMemberUniqueName="[Range1].[Product].[All]" allUniqueName="[Range1].[Product].[All]" dimensionUniqueName="[Range1]" displayFolder="" count="0" memberValueDatatype="130" unbalanced="0"/>
    <cacheHierarchy uniqueName="[Range1].[Brand]" caption="Brand" attribute="1" defaultMemberUniqueName="[Range1].[Brand].[All]" allUniqueName="[Range1].[Brand].[All]" dimensionUniqueName="[Range1]" displayFolder="" count="0" memberValueDatatype="130" unbalanced="0"/>
    <cacheHierarchy uniqueName="[Range1].[Quantity]" caption="Quantity" attribute="1" defaultMemberUniqueName="[Range1].[Quantity].[All]" allUniqueName="[Range1].[Quantity].[All]" dimensionUniqueName="[Range1]" displayFolder="" count="0" memberValueDatatype="20" unbalanced="0"/>
    <cacheHierarchy uniqueName="[Range1].[UnitPrice]" caption="UnitPrice" attribute="1" defaultMemberUniqueName="[Range1].[UnitPrice].[All]" allUniqueName="[Range1].[UnitPrice].[All]" dimensionUniqueName="[Range1]" displayFolder="" count="0" memberValueDatatype="20" unbalanced="0"/>
    <cacheHierarchy uniqueName="[Range1].[Discount]" caption="Discount" attribute="1" defaultMemberUniqueName="[Range1].[Discount].[All]" allUniqueName="[Range1].[Discount].[All]" dimensionUniqueName="[Range1]" displayFolder="" count="0" memberValueDatatype="20" unbalanced="0"/>
    <cacheHierarchy uniqueName="[Range1].[ShippingCost]" caption="ShippingCost" attribute="1" defaultMemberUniqueName="[Range1].[ShippingCost].[All]" allUniqueName="[Range1].[ShippingCost].[All]" dimensionUniqueName="[Range1]" displayFolder="" count="0" memberValueDatatype="20" unbalanced="0"/>
    <cacheHierarchy uniqueName="[Range1].[PaymentMethod]" caption="PaymentMethod" attribute="1" defaultMemberUniqueName="[Range1].[PaymentMethod].[All]" allUniqueName="[Range1].[PaymentMethod].[All]" dimensionUniqueName="[Range1]" displayFolder="" count="2" memberValueDatatype="130" unbalanced="0"/>
    <cacheHierarchy uniqueName="[Range1].[OrderStatus]" caption="OrderStatus" attribute="1" defaultMemberUniqueName="[Range1].[OrderStatus].[All]" allUniqueName="[Range1].[OrderStatus].[All]" dimensionUniqueName="[Range1]" displayFolder="" count="2" memberValueDatatype="130" unbalanced="0"/>
    <cacheHierarchy uniqueName="[Range1].[Sales]" caption="Sales" attribute="1" defaultMemberUniqueName="[Range1].[Sales].[All]" allUniqueName="[Range1].[Sales].[All]" dimensionUniqueName="[Range1]"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Sales]" caption="Sum of Sales" measure="1" displayFolder="" measureGroup="Range1" count="0" hidden="1">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Range1" uniqueName="[Range1]" caption="Range1"/>
  </dimensions>
  <measureGroups count="2">
    <measureGroup name="Range" caption="Range"/>
    <measureGroup name="Range1" caption="Rang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ELL" refreshedDate="46242.683949189814" backgroundQuery="1" createdVersion="6" refreshedVersion="6" minRefreshableVersion="3" recordCount="0" supportSubquery="1" supportAdvancedDrill="1">
  <cacheSource type="external" connectionId="1"/>
  <cacheFields count="2">
    <cacheField name="[Measures].[Sum of Sales]" caption="Sum of Sales" numFmtId="0" hierarchy="18" level="32767"/>
    <cacheField name="[Range1].[Brand].[Brand]" caption="Brand" numFmtId="0" hierarchy="7" level="1">
      <sharedItems count="14">
        <s v="Apple"/>
        <s v="Boat"/>
        <s v="Dell"/>
        <s v="HP"/>
        <s v="Ikea"/>
        <s v="Lenovo"/>
        <s v="Levis"/>
        <s v="LG"/>
        <s v="Logitech"/>
        <s v="Nike"/>
        <s v="Philips"/>
        <s v="Puma"/>
        <s v="Samsung"/>
        <s v="Usha"/>
      </sharedItems>
    </cacheField>
  </cacheFields>
  <cacheHierarchies count="19">
    <cacheHierarchy uniqueName="[Range].[Month]" caption="Month" attribute="1" defaultMemberUniqueName="[Range].[Month].[All]" allUniqueName="[Range].[Month].[All]" dimensionUniqueName="[Range]" displayFolder="" count="0" memberValueDatatype="130" unbalanced="0"/>
    <cacheHierarchy uniqueName="[Range1].[OrderID]" caption="OrderID" attribute="1" defaultMemberUniqueName="[Range1].[OrderID].[All]" allUniqueName="[Range1].[OrderID].[All]" dimensionUniqueName="[Range1]" displayFolder="" count="0" memberValueDatatype="20" unbalanced="0"/>
    <cacheHierarchy uniqueName="[Range1].[OrderDate]" caption="OrderDate" attribute="1" defaultMemberUniqueName="[Range1].[OrderDate].[All]" allUniqueName="[Range1].[OrderDate].[All]" dimensionUniqueName="[Range1]" displayFolder="" count="0" memberValueDatatype="130" unbalanced="0"/>
    <cacheHierarchy uniqueName="[Range1].[CustomerName]" caption="CustomerName" attribute="1" defaultMemberUniqueName="[Range1].[CustomerName].[All]" allUniqueName="[Range1].[CustomerName].[All]" dimensionUniqueName="[Range1]" displayFolder="" count="0" memberValueDatatype="130" unbalanced="0"/>
    <cacheHierarchy uniqueName="[Range1].[City]" caption="City" attribute="1" defaultMemberUniqueName="[Range1].[City].[All]" allUniqueName="[Range1].[City].[All]" dimensionUniqueName="[Range1]" displayFolder="" count="2" memberValueDatatype="130" unbalanced="0"/>
    <cacheHierarchy uniqueName="[Range1].[Category]" caption="Category" attribute="1" defaultMemberUniqueName="[Range1].[Category].[All]" allUniqueName="[Range1].[Category].[All]" dimensionUniqueName="[Range1]" displayFolder="" count="2" memberValueDatatype="130" unbalanced="0"/>
    <cacheHierarchy uniqueName="[Range1].[Product]" caption="Product" attribute="1" defaultMemberUniqueName="[Range1].[Product].[All]" allUniqueName="[Range1].[Product].[All]" dimensionUniqueName="[Range1]" displayFolder="" count="0" memberValueDatatype="130" unbalanced="0"/>
    <cacheHierarchy uniqueName="[Range1].[Brand]" caption="Brand" attribute="1" defaultMemberUniqueName="[Range1].[Brand].[All]" allUniqueName="[Range1].[Brand].[All]" dimensionUniqueName="[Range1]" displayFolder="" count="2" memberValueDatatype="130" unbalanced="0">
      <fieldsUsage count="2">
        <fieldUsage x="-1"/>
        <fieldUsage x="1"/>
      </fieldsUsage>
    </cacheHierarchy>
    <cacheHierarchy uniqueName="[Range1].[Quantity]" caption="Quantity" attribute="1" defaultMemberUniqueName="[Range1].[Quantity].[All]" allUniqueName="[Range1].[Quantity].[All]" dimensionUniqueName="[Range1]" displayFolder="" count="0" memberValueDatatype="20" unbalanced="0"/>
    <cacheHierarchy uniqueName="[Range1].[UnitPrice]" caption="UnitPrice" attribute="1" defaultMemberUniqueName="[Range1].[UnitPrice].[All]" allUniqueName="[Range1].[UnitPrice].[All]" dimensionUniqueName="[Range1]" displayFolder="" count="0" memberValueDatatype="20" unbalanced="0"/>
    <cacheHierarchy uniqueName="[Range1].[Discount]" caption="Discount" attribute="1" defaultMemberUniqueName="[Range1].[Discount].[All]" allUniqueName="[Range1].[Discount].[All]" dimensionUniqueName="[Range1]" displayFolder="" count="0" memberValueDatatype="20" unbalanced="0"/>
    <cacheHierarchy uniqueName="[Range1].[ShippingCost]" caption="ShippingCost" attribute="1" defaultMemberUniqueName="[Range1].[ShippingCost].[All]" allUniqueName="[Range1].[ShippingCost].[All]" dimensionUniqueName="[Range1]" displayFolder="" count="0" memberValueDatatype="20" unbalanced="0"/>
    <cacheHierarchy uniqueName="[Range1].[PaymentMethod]" caption="PaymentMethod" attribute="1" defaultMemberUniqueName="[Range1].[PaymentMethod].[All]" allUniqueName="[Range1].[PaymentMethod].[All]" dimensionUniqueName="[Range1]" displayFolder="" count="2" memberValueDatatype="130" unbalanced="0"/>
    <cacheHierarchy uniqueName="[Range1].[OrderStatus]" caption="OrderStatus" attribute="1" defaultMemberUniqueName="[Range1].[OrderStatus].[All]" allUniqueName="[Range1].[OrderStatus].[All]" dimensionUniqueName="[Range1]" displayFolder="" count="2" memberValueDatatype="130" unbalanced="0"/>
    <cacheHierarchy uniqueName="[Range1].[Sales]" caption="Sales" attribute="1" defaultMemberUniqueName="[Range1].[Sales].[All]" allUniqueName="[Range1].[Sales].[All]" dimensionUniqueName="[Range1]" displayFolder="" count="0"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Sales]" caption="Sum of Sales" measure="1" displayFolder="" measureGroup="Range1"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Range1" uniqueName="[Range1]" caption="Range1"/>
  </dimensions>
  <measureGroups count="2">
    <measureGroup name="Range" caption="Range"/>
    <measureGroup name="Range1" caption="Rang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ELL" refreshedDate="46242.683949652775" backgroundQuery="1" createdVersion="6" refreshedVersion="6" minRefreshableVersion="3" recordCount="0" supportSubquery="1" supportAdvancedDrill="1">
  <cacheSource type="external" connectionId="1"/>
  <cacheFields count="2">
    <cacheField name="[Range1].[Category].[Category]" caption="Category" numFmtId="0" hierarchy="5" level="1">
      <sharedItems count="4">
        <s v="Clothing"/>
        <s v="Electronics"/>
        <s v="Furniture"/>
        <s v="Home"/>
      </sharedItems>
    </cacheField>
    <cacheField name="[Measures].[Sum of Sales]" caption="Sum of Sales" numFmtId="0" hierarchy="18" level="32767"/>
  </cacheFields>
  <cacheHierarchies count="19">
    <cacheHierarchy uniqueName="[Range].[Month]" caption="Month" attribute="1" defaultMemberUniqueName="[Range].[Month].[All]" allUniqueName="[Range].[Month].[All]" dimensionUniqueName="[Range]" displayFolder="" count="2" memberValueDatatype="130" unbalanced="0"/>
    <cacheHierarchy uniqueName="[Range1].[OrderID]" caption="OrderID" attribute="1" defaultMemberUniqueName="[Range1].[OrderID].[All]" allUniqueName="[Range1].[OrderID].[All]" dimensionUniqueName="[Range1]" displayFolder="" count="2" memberValueDatatype="20" unbalanced="0"/>
    <cacheHierarchy uniqueName="[Range1].[OrderDate]" caption="OrderDate" attribute="1" defaultMemberUniqueName="[Range1].[OrderDate].[All]" allUniqueName="[Range1].[OrderDate].[All]" dimensionUniqueName="[Range1]" displayFolder="" count="2" memberValueDatatype="130" unbalanced="0"/>
    <cacheHierarchy uniqueName="[Range1].[CustomerName]" caption="CustomerName" attribute="1" defaultMemberUniqueName="[Range1].[CustomerName].[All]" allUniqueName="[Range1].[CustomerName].[All]" dimensionUniqueName="[Range1]" displayFolder="" count="2" memberValueDatatype="130" unbalanced="0"/>
    <cacheHierarchy uniqueName="[Range1].[City]" caption="City" attribute="1" defaultMemberUniqueName="[Range1].[City].[All]" allUniqueName="[Range1].[City].[All]" dimensionUniqueName="[Range1]" displayFolder="" count="2" memberValueDatatype="130" unbalanced="0"/>
    <cacheHierarchy uniqueName="[Range1].[Category]" caption="Category" attribute="1" defaultMemberUniqueName="[Range1].[Category].[All]" allUniqueName="[Range1].[Category].[All]" dimensionUniqueName="[Range1]" displayFolder="" count="2" memberValueDatatype="130" unbalanced="0">
      <fieldsUsage count="2">
        <fieldUsage x="-1"/>
        <fieldUsage x="0"/>
      </fieldsUsage>
    </cacheHierarchy>
    <cacheHierarchy uniqueName="[Range1].[Product]" caption="Product" attribute="1" defaultMemberUniqueName="[Range1].[Product].[All]" allUniqueName="[Range1].[Product].[All]" dimensionUniqueName="[Range1]" displayFolder="" count="2" memberValueDatatype="130" unbalanced="0"/>
    <cacheHierarchy uniqueName="[Range1].[Brand]" caption="Brand" attribute="1" defaultMemberUniqueName="[Range1].[Brand].[All]" allUniqueName="[Range1].[Brand].[All]" dimensionUniqueName="[Range1]" displayFolder="" count="2" memberValueDatatype="130" unbalanced="0"/>
    <cacheHierarchy uniqueName="[Range1].[Quantity]" caption="Quantity" attribute="1" defaultMemberUniqueName="[Range1].[Quantity].[All]" allUniqueName="[Range1].[Quantity].[All]" dimensionUniqueName="[Range1]" displayFolder="" count="2" memberValueDatatype="20" unbalanced="0"/>
    <cacheHierarchy uniqueName="[Range1].[UnitPrice]" caption="UnitPrice" attribute="1" defaultMemberUniqueName="[Range1].[UnitPrice].[All]" allUniqueName="[Range1].[UnitPrice].[All]" dimensionUniqueName="[Range1]" displayFolder="" count="2" memberValueDatatype="20" unbalanced="0"/>
    <cacheHierarchy uniqueName="[Range1].[Discount]" caption="Discount" attribute="1" defaultMemberUniqueName="[Range1].[Discount].[All]" allUniqueName="[Range1].[Discount].[All]" dimensionUniqueName="[Range1]" displayFolder="" count="2" memberValueDatatype="20" unbalanced="0"/>
    <cacheHierarchy uniqueName="[Range1].[ShippingCost]" caption="ShippingCost" attribute="1" defaultMemberUniqueName="[Range1].[ShippingCost].[All]" allUniqueName="[Range1].[ShippingCost].[All]" dimensionUniqueName="[Range1]" displayFolder="" count="2" memberValueDatatype="20" unbalanced="0"/>
    <cacheHierarchy uniqueName="[Range1].[PaymentMethod]" caption="PaymentMethod" attribute="1" defaultMemberUniqueName="[Range1].[PaymentMethod].[All]" allUniqueName="[Range1].[PaymentMethod].[All]" dimensionUniqueName="[Range1]" displayFolder="" count="2" memberValueDatatype="130" unbalanced="0"/>
    <cacheHierarchy uniqueName="[Range1].[OrderStatus]" caption="OrderStatus" attribute="1" defaultMemberUniqueName="[Range1].[OrderStatus].[All]" allUniqueName="[Range1].[OrderStatus].[All]" dimensionUniqueName="[Range1]" displayFolder="" count="2" memberValueDatatype="130" unbalanced="0"/>
    <cacheHierarchy uniqueName="[Range1].[Sales]" caption="Sales" attribute="1" defaultMemberUniqueName="[Range1].[Sales].[All]" allUniqueName="[Range1].[Sales].[All]" dimensionUniqueName="[Range1]" displayFolder="" count="2" memberValueDatatype="20" unbalanced="0"/>
    <cacheHierarchy uniqueName="[Measures].[__XL_Count Range]" caption="__XL_Count Range" measure="1" displayFolder="" measureGroup="Range" count="0" hidden="1"/>
    <cacheHierarchy uniqueName="[Measures].[__XL_Count Range1]" caption="__XL_Count Range1" measure="1" displayFolder="" measureGroup="Range1" count="0" hidden="1"/>
    <cacheHierarchy uniqueName="[Measures].[__No measures defined]" caption="__No measures defined" measure="1" displayFolder="" count="0" hidden="1"/>
    <cacheHierarchy uniqueName="[Measures].[Sum of Sales]" caption="Sum of Sales" measure="1" displayFolder="" measureGroup="Range1"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3">
    <dimension measure="1" name="Measures" uniqueName="[Measures]" caption="Measures"/>
    <dimension name="Range" uniqueName="[Range]" caption="Range"/>
    <dimension name="Range1" uniqueName="[Range1]" caption="Range1"/>
  </dimensions>
  <measureGroups count="2">
    <measureGroup name="Range" caption="Range"/>
    <measureGroup name="Range1" caption="Range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30">
  <r>
    <n v="1001"/>
    <x v="0"/>
    <s v="Akash"/>
    <x v="0"/>
    <x v="0"/>
    <s v="Laptop"/>
    <x v="0"/>
    <n v="1"/>
    <n v="55000"/>
    <n v="10"/>
    <n v="500"/>
    <x v="0"/>
    <x v="0"/>
    <n v="50000"/>
  </r>
  <r>
    <n v="1002"/>
    <x v="1"/>
    <s v="Rekha"/>
    <x v="1"/>
    <x v="1"/>
    <s v="Chair"/>
    <x v="1"/>
    <n v="2"/>
    <n v="3000"/>
    <n v="5"/>
    <n v="200"/>
    <x v="1"/>
    <x v="0"/>
    <n v="5700"/>
  </r>
  <r>
    <n v="1003"/>
    <x v="2"/>
    <s v="Ravi"/>
    <x v="2"/>
    <x v="0"/>
    <s v="Phone"/>
    <x v="2"/>
    <n v="1"/>
    <n v="30000"/>
    <n v="15"/>
    <n v="250"/>
    <x v="2"/>
    <x v="0"/>
    <n v="25500"/>
  </r>
  <r>
    <n v="1004"/>
    <x v="3"/>
    <s v="Priya"/>
    <x v="3"/>
    <x v="2"/>
    <s v="Shirt"/>
    <x v="3"/>
    <n v="3"/>
    <n v="1200"/>
    <n v="20"/>
    <n v="100"/>
    <x v="0"/>
    <x v="1"/>
    <n v="2880"/>
  </r>
  <r>
    <n v="1005"/>
    <x v="4"/>
    <s v="Rahul"/>
    <x v="0"/>
    <x v="0"/>
    <s v="Mouse"/>
    <x v="4"/>
    <n v="2"/>
    <n v="900"/>
    <n v="5"/>
    <n v="50"/>
    <x v="1"/>
    <x v="0"/>
    <n v="1710"/>
  </r>
  <r>
    <n v="1006"/>
    <x v="5"/>
    <s v="Kiran"/>
    <x v="4"/>
    <x v="3"/>
    <s v="Mixer"/>
    <x v="5"/>
    <n v="1"/>
    <n v="4500"/>
    <n v="12"/>
    <n v="150"/>
    <x v="3"/>
    <x v="0"/>
    <n v="3960"/>
  </r>
  <r>
    <n v="1007"/>
    <x v="6"/>
    <s v="Anu"/>
    <x v="1"/>
    <x v="0"/>
    <s v="Monitor"/>
    <x v="6"/>
    <n v="1"/>
    <n v="18000"/>
    <n v="8"/>
    <n v="300"/>
    <x v="0"/>
    <x v="2"/>
    <n v="16560"/>
  </r>
  <r>
    <n v="1008"/>
    <x v="7"/>
    <s v="Meena"/>
    <x v="2"/>
    <x v="1"/>
    <s v="Table"/>
    <x v="1"/>
    <n v="1"/>
    <n v="7000"/>
    <n v="10"/>
    <n v="250"/>
    <x v="1"/>
    <x v="0"/>
    <n v="6300"/>
  </r>
  <r>
    <n v="1009"/>
    <x v="8"/>
    <s v="Arjun"/>
    <x v="0"/>
    <x v="2"/>
    <s v="Jeans"/>
    <x v="3"/>
    <n v="2"/>
    <n v="2500"/>
    <n v="15"/>
    <n v="100"/>
    <x v="2"/>
    <x v="0"/>
    <n v="4250"/>
  </r>
  <r>
    <n v="1010"/>
    <x v="9"/>
    <s v="Sita"/>
    <x v="3"/>
    <x v="0"/>
    <s v="Tablet"/>
    <x v="7"/>
    <n v="1"/>
    <n v="22000"/>
    <n v="18"/>
    <n v="200"/>
    <x v="0"/>
    <x v="0"/>
    <n v="18040"/>
  </r>
  <r>
    <n v="1011"/>
    <x v="10"/>
    <s v="Vikram"/>
    <x v="1"/>
    <x v="3"/>
    <s v="Fan"/>
    <x v="8"/>
    <n v="2"/>
    <n v="2800"/>
    <n v="5"/>
    <n v="150"/>
    <x v="1"/>
    <x v="1"/>
    <n v="5320"/>
  </r>
  <r>
    <n v="1012"/>
    <x v="11"/>
    <s v="Pooja"/>
    <x v="4"/>
    <x v="0"/>
    <s v="Laptop"/>
    <x v="9"/>
    <n v="1"/>
    <n v="62000"/>
    <n v="12"/>
    <n v="500"/>
    <x v="3"/>
    <x v="0"/>
    <n v="54560"/>
  </r>
  <r>
    <n v="1013"/>
    <x v="12"/>
    <s v="Ajay"/>
    <x v="2"/>
    <x v="1"/>
    <s v="Sofa"/>
    <x v="1"/>
    <n v="1"/>
    <n v="25000"/>
    <n v="10"/>
    <n v="600"/>
    <x v="1"/>
    <x v="0"/>
    <n v="22500"/>
  </r>
  <r>
    <n v="1014"/>
    <x v="13"/>
    <s v="Nisha"/>
    <x v="0"/>
    <x v="2"/>
    <s v="Jacket"/>
    <x v="10"/>
    <n v="1"/>
    <n v="4000"/>
    <n v="20"/>
    <n v="150"/>
    <x v="0"/>
    <x v="0"/>
    <n v="3200"/>
  </r>
  <r>
    <n v="1015"/>
    <x v="14"/>
    <s v="Rohit"/>
    <x v="1"/>
    <x v="0"/>
    <s v="Earbuds"/>
    <x v="11"/>
    <n v="3"/>
    <n v="1800"/>
    <n v="10"/>
    <n v="80"/>
    <x v="2"/>
    <x v="0"/>
    <n v="4860"/>
  </r>
  <r>
    <n v="1016"/>
    <x v="15"/>
    <s v="Kavya"/>
    <x v="3"/>
    <x v="3"/>
    <s v="Iron"/>
    <x v="5"/>
    <n v="2"/>
    <n v="2200"/>
    <n v="8"/>
    <n v="100"/>
    <x v="0"/>
    <x v="2"/>
    <n v="4048"/>
  </r>
  <r>
    <n v="1017"/>
    <x v="16"/>
    <s v="Deepak"/>
    <x v="2"/>
    <x v="0"/>
    <s v="Keyboard"/>
    <x v="4"/>
    <n v="2"/>
    <n v="1500"/>
    <n v="5"/>
    <n v="60"/>
    <x v="1"/>
    <x v="0"/>
    <n v="2850"/>
  </r>
  <r>
    <n v="1018"/>
    <x v="17"/>
    <s v="Sara"/>
    <x v="0"/>
    <x v="1"/>
    <s v="Shelf"/>
    <x v="1"/>
    <n v="1"/>
    <n v="8500"/>
    <n v="15"/>
    <n v="200"/>
    <x v="3"/>
    <x v="0"/>
    <n v="7225"/>
  </r>
  <r>
    <n v="1019"/>
    <x v="18"/>
    <s v="Neha"/>
    <x v="4"/>
    <x v="0"/>
    <s v="Phone"/>
    <x v="12"/>
    <n v="1"/>
    <n v="75000"/>
    <n v="5"/>
    <n v="500"/>
    <x v="1"/>
    <x v="0"/>
    <n v="71250"/>
  </r>
  <r>
    <n v="1020"/>
    <x v="19"/>
    <s v="Manoj"/>
    <x v="1"/>
    <x v="2"/>
    <s v="Shoes"/>
    <x v="13"/>
    <n v="2"/>
    <n v="5000"/>
    <n v="10"/>
    <n v="120"/>
    <x v="0"/>
    <x v="0"/>
    <n v="9000"/>
  </r>
  <r>
    <m/>
    <x v="20"/>
    <m/>
    <x v="5"/>
    <x v="4"/>
    <m/>
    <x v="14"/>
    <m/>
    <m/>
    <m/>
    <m/>
    <x v="4"/>
    <x v="3"/>
    <m/>
  </r>
  <r>
    <m/>
    <x v="20"/>
    <m/>
    <x v="5"/>
    <x v="4"/>
    <m/>
    <x v="14"/>
    <m/>
    <m/>
    <m/>
    <m/>
    <x v="4"/>
    <x v="3"/>
    <m/>
  </r>
  <r>
    <m/>
    <x v="20"/>
    <m/>
    <x v="5"/>
    <x v="4"/>
    <m/>
    <x v="14"/>
    <m/>
    <m/>
    <m/>
    <m/>
    <x v="4"/>
    <x v="3"/>
    <m/>
  </r>
  <r>
    <m/>
    <x v="20"/>
    <m/>
    <x v="5"/>
    <x v="4"/>
    <m/>
    <x v="14"/>
    <m/>
    <m/>
    <m/>
    <m/>
    <x v="4"/>
    <x v="3"/>
    <m/>
  </r>
  <r>
    <m/>
    <x v="20"/>
    <m/>
    <x v="5"/>
    <x v="4"/>
    <m/>
    <x v="14"/>
    <m/>
    <m/>
    <m/>
    <m/>
    <x v="4"/>
    <x v="3"/>
    <m/>
  </r>
  <r>
    <m/>
    <x v="20"/>
    <m/>
    <x v="5"/>
    <x v="4"/>
    <m/>
    <x v="14"/>
    <m/>
    <m/>
    <m/>
    <m/>
    <x v="4"/>
    <x v="3"/>
    <m/>
  </r>
  <r>
    <m/>
    <x v="20"/>
    <m/>
    <x v="5"/>
    <x v="4"/>
    <m/>
    <x v="14"/>
    <m/>
    <m/>
    <m/>
    <m/>
    <x v="4"/>
    <x v="3"/>
    <m/>
  </r>
  <r>
    <m/>
    <x v="20"/>
    <m/>
    <x v="5"/>
    <x v="4"/>
    <m/>
    <x v="14"/>
    <m/>
    <m/>
    <m/>
    <m/>
    <x v="4"/>
    <x v="3"/>
    <m/>
  </r>
  <r>
    <m/>
    <x v="20"/>
    <m/>
    <x v="5"/>
    <x v="4"/>
    <m/>
    <x v="14"/>
    <m/>
    <m/>
    <m/>
    <m/>
    <x v="4"/>
    <x v="3"/>
    <m/>
  </r>
  <r>
    <m/>
    <x v="20"/>
    <m/>
    <x v="5"/>
    <x v="4"/>
    <m/>
    <x v="14"/>
    <m/>
    <m/>
    <m/>
    <m/>
    <x v="4"/>
    <x v="3"/>
    <m/>
  </r>
</pivotCacheRecords>
</file>

<file path=xl/pivotCache/pivotCacheRecords2.xml><?xml version="1.0" encoding="utf-8"?>
<pivotCacheRecords xmlns="http://schemas.openxmlformats.org/spreadsheetml/2006/main" xmlns:r="http://schemas.openxmlformats.org/officeDocument/2006/relationships" count="20">
  <r>
    <s v="January"/>
  </r>
  <r>
    <s v="January"/>
  </r>
  <r>
    <s v="January"/>
  </r>
  <r>
    <s v="January"/>
  </r>
  <r>
    <s v="February"/>
  </r>
  <r>
    <s v="February"/>
  </r>
  <r>
    <s v="February"/>
  </r>
  <r>
    <s v="March"/>
  </r>
  <r>
    <s v="March"/>
  </r>
  <r>
    <s v="March"/>
  </r>
  <r>
    <s v="April"/>
  </r>
  <r>
    <s v="April"/>
  </r>
  <r>
    <s v="April"/>
  </r>
  <r>
    <s v="May"/>
  </r>
  <r>
    <s v="May"/>
  </r>
  <r>
    <s v="May"/>
  </r>
  <r>
    <s v="June"/>
  </r>
  <r>
    <s v="June"/>
  </r>
  <r>
    <s v="June"/>
  </r>
  <r>
    <s v="June"/>
  </r>
</pivotCacheRecords>
</file>

<file path=xl/pivotCache/pivotCacheRecords3.xml><?xml version="1.0" encoding="utf-8"?>
<pivotCacheRecords xmlns="http://schemas.openxmlformats.org/spreadsheetml/2006/main" xmlns:r="http://schemas.openxmlformats.org/officeDocument/2006/relationships" count="20">
  <r>
    <n v="1001"/>
    <s v="2026-01-05"/>
    <s v="Akash"/>
    <x v="0"/>
    <x v="0"/>
    <s v="Laptop"/>
    <x v="0"/>
    <n v="1"/>
    <n v="55000"/>
    <n v="10"/>
    <n v="500"/>
    <x v="0"/>
    <x v="0"/>
    <n v="50000"/>
    <x v="0"/>
  </r>
  <r>
    <n v="1002"/>
    <s v="2026-01-08"/>
    <s v="Rekha"/>
    <x v="1"/>
    <x v="1"/>
    <s v="Chair"/>
    <x v="1"/>
    <n v="2"/>
    <n v="3000"/>
    <n v="5"/>
    <n v="200"/>
    <x v="1"/>
    <x v="0"/>
    <n v="5700"/>
    <x v="0"/>
  </r>
  <r>
    <n v="1003"/>
    <s v="2026-01-09"/>
    <s v="Ravi"/>
    <x v="2"/>
    <x v="0"/>
    <s v="Phone"/>
    <x v="2"/>
    <n v="1"/>
    <n v="30000"/>
    <n v="15"/>
    <n v="250"/>
    <x v="2"/>
    <x v="0"/>
    <n v="25500"/>
    <x v="0"/>
  </r>
  <r>
    <n v="1004"/>
    <s v="2026-01-12"/>
    <s v="Priya"/>
    <x v="3"/>
    <x v="2"/>
    <s v="Shirt"/>
    <x v="3"/>
    <n v="3"/>
    <n v="1200"/>
    <n v="20"/>
    <n v="100"/>
    <x v="0"/>
    <x v="1"/>
    <n v="2880"/>
    <x v="0"/>
  </r>
  <r>
    <n v="1005"/>
    <s v="2026-02-02"/>
    <s v="Rahul"/>
    <x v="0"/>
    <x v="0"/>
    <s v="Mouse"/>
    <x v="4"/>
    <n v="2"/>
    <n v="900"/>
    <n v="5"/>
    <n v="50"/>
    <x v="1"/>
    <x v="0"/>
    <n v="1710"/>
    <x v="1"/>
  </r>
  <r>
    <n v="1006"/>
    <s v="2026-02-10"/>
    <s v="Kiran"/>
    <x v="4"/>
    <x v="3"/>
    <s v="Mixer"/>
    <x v="5"/>
    <n v="1"/>
    <n v="4500"/>
    <n v="12"/>
    <n v="150"/>
    <x v="3"/>
    <x v="0"/>
    <n v="3960"/>
    <x v="1"/>
  </r>
  <r>
    <n v="1007"/>
    <s v="2026-02-18"/>
    <s v="Anu"/>
    <x v="1"/>
    <x v="0"/>
    <s v="Monitor"/>
    <x v="6"/>
    <n v="1"/>
    <n v="18000"/>
    <n v="8"/>
    <n v="300"/>
    <x v="0"/>
    <x v="2"/>
    <n v="16560"/>
    <x v="1"/>
  </r>
  <r>
    <n v="1008"/>
    <s v="2026-03-01"/>
    <s v="Meena"/>
    <x v="2"/>
    <x v="1"/>
    <s v="Table"/>
    <x v="1"/>
    <n v="1"/>
    <n v="7000"/>
    <n v="10"/>
    <n v="250"/>
    <x v="1"/>
    <x v="0"/>
    <n v="6300"/>
    <x v="2"/>
  </r>
  <r>
    <n v="1009"/>
    <s v="2026-03-05"/>
    <s v="Arjun"/>
    <x v="0"/>
    <x v="2"/>
    <s v="Jeans"/>
    <x v="3"/>
    <n v="2"/>
    <n v="2500"/>
    <n v="15"/>
    <n v="100"/>
    <x v="2"/>
    <x v="0"/>
    <n v="4250"/>
    <x v="2"/>
  </r>
  <r>
    <n v="1010"/>
    <s v="2026-03-12"/>
    <s v="Sita"/>
    <x v="3"/>
    <x v="0"/>
    <s v="Tablet"/>
    <x v="7"/>
    <n v="1"/>
    <n v="22000"/>
    <n v="18"/>
    <n v="200"/>
    <x v="0"/>
    <x v="0"/>
    <n v="18040"/>
    <x v="2"/>
  </r>
  <r>
    <n v="1011"/>
    <s v="2026-04-03"/>
    <s v="Vikram"/>
    <x v="1"/>
    <x v="3"/>
    <s v="Fan"/>
    <x v="8"/>
    <n v="2"/>
    <n v="2800"/>
    <n v="5"/>
    <n v="150"/>
    <x v="1"/>
    <x v="1"/>
    <n v="5320"/>
    <x v="3"/>
  </r>
  <r>
    <n v="1012"/>
    <s v="2026-04-10"/>
    <s v="Pooja"/>
    <x v="4"/>
    <x v="0"/>
    <s v="Laptop"/>
    <x v="9"/>
    <n v="1"/>
    <n v="62000"/>
    <n v="12"/>
    <n v="500"/>
    <x v="3"/>
    <x v="0"/>
    <n v="54560"/>
    <x v="3"/>
  </r>
  <r>
    <n v="1013"/>
    <s v="2026-04-18"/>
    <s v="Ajay"/>
    <x v="2"/>
    <x v="1"/>
    <s v="Sofa"/>
    <x v="1"/>
    <n v="1"/>
    <n v="25000"/>
    <n v="10"/>
    <n v="600"/>
    <x v="1"/>
    <x v="0"/>
    <n v="22500"/>
    <x v="3"/>
  </r>
  <r>
    <n v="1014"/>
    <s v="2026-05-02"/>
    <s v="Nisha"/>
    <x v="0"/>
    <x v="2"/>
    <s v="Jacket"/>
    <x v="10"/>
    <n v="1"/>
    <n v="4000"/>
    <n v="20"/>
    <n v="150"/>
    <x v="0"/>
    <x v="0"/>
    <n v="3200"/>
    <x v="4"/>
  </r>
  <r>
    <n v="1015"/>
    <s v="2026-05-15"/>
    <s v="Rohit"/>
    <x v="1"/>
    <x v="0"/>
    <s v="Earbuds"/>
    <x v="11"/>
    <n v="3"/>
    <n v="1800"/>
    <n v="10"/>
    <n v="80"/>
    <x v="2"/>
    <x v="0"/>
    <n v="4860"/>
    <x v="4"/>
  </r>
  <r>
    <n v="1016"/>
    <s v="2026-05-20"/>
    <s v="Kavya"/>
    <x v="3"/>
    <x v="3"/>
    <s v="Iron"/>
    <x v="5"/>
    <n v="2"/>
    <n v="2200"/>
    <n v="8"/>
    <n v="100"/>
    <x v="0"/>
    <x v="2"/>
    <n v="4048"/>
    <x v="4"/>
  </r>
  <r>
    <n v="1017"/>
    <s v="2026-06-01"/>
    <s v="Deepak"/>
    <x v="2"/>
    <x v="0"/>
    <s v="Keyboard"/>
    <x v="4"/>
    <n v="2"/>
    <n v="1500"/>
    <n v="5"/>
    <n v="60"/>
    <x v="1"/>
    <x v="0"/>
    <n v="2850"/>
    <x v="5"/>
  </r>
  <r>
    <n v="1018"/>
    <s v="2026-06-11"/>
    <s v="Sara"/>
    <x v="0"/>
    <x v="1"/>
    <s v="Shelf"/>
    <x v="1"/>
    <n v="1"/>
    <n v="8500"/>
    <n v="15"/>
    <n v="200"/>
    <x v="3"/>
    <x v="0"/>
    <n v="7225"/>
    <x v="5"/>
  </r>
  <r>
    <n v="1019"/>
    <s v="2026-06-20"/>
    <s v="Neha"/>
    <x v="4"/>
    <x v="0"/>
    <s v="Phone"/>
    <x v="12"/>
    <n v="1"/>
    <n v="75000"/>
    <n v="5"/>
    <n v="500"/>
    <x v="1"/>
    <x v="0"/>
    <n v="71250"/>
    <x v="5"/>
  </r>
  <r>
    <n v="1020"/>
    <s v="2026-06-25"/>
    <s v="Manoj"/>
    <x v="1"/>
    <x v="2"/>
    <s v="Shoes"/>
    <x v="13"/>
    <n v="2"/>
    <n v="5000"/>
    <n v="10"/>
    <n v="120"/>
    <x v="0"/>
    <x v="0"/>
    <n v="900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B10" firstHeaderRow="1" firstDataRow="1" firstDataCol="1"/>
  <pivotFields count="2">
    <pivotField dataField="1" showAll="0"/>
    <pivotField axis="axisRow" allDrilled="1" showAll="0" dataSourceSort="1" defaultAttributeDrillState="1">
      <items count="7">
        <item x="0"/>
        <item x="1"/>
        <item x="2"/>
        <item x="3"/>
        <item x="4"/>
        <item x="5"/>
        <item t="default"/>
      </items>
    </pivotField>
  </pivotFields>
  <rowFields count="1">
    <field x="1"/>
  </rowFields>
  <rowItems count="7">
    <i>
      <x/>
    </i>
    <i>
      <x v="1"/>
    </i>
    <i>
      <x v="2"/>
    </i>
    <i>
      <x v="3"/>
    </i>
    <i>
      <x v="4"/>
    </i>
    <i>
      <x v="5"/>
    </i>
    <i t="grand">
      <x/>
    </i>
  </rowItems>
  <colItems count="1">
    <i/>
  </colItems>
  <dataFields count="1">
    <dataField name="Sum of Sales" fld="0" baseField="0" baseItem="0"/>
  </dataField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Range1]"/>
        <x15:activeTabTopLevelEntity name="[Range]"/>
      </x15:pivotTableUISettings>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24" firstHeaderRow="1" firstDataRow="1" firstDataCol="1"/>
  <pivotFields count="14">
    <pivotField showAll="0"/>
    <pivotField axis="axisRow" showAll="0" sortType="descending">
      <items count="22">
        <item h="1" x="20"/>
        <item x="19"/>
        <item x="18"/>
        <item x="17"/>
        <item x="16"/>
        <item x="15"/>
        <item x="14"/>
        <item x="13"/>
        <item x="12"/>
        <item x="11"/>
        <item x="10"/>
        <item x="9"/>
        <item x="8"/>
        <item x="7"/>
        <item x="6"/>
        <item x="5"/>
        <item x="4"/>
        <item x="3"/>
        <item x="2"/>
        <item x="1"/>
        <item x="0"/>
        <item t="default"/>
      </items>
    </pivotField>
    <pivotField showAll="0"/>
    <pivotField showAll="0">
      <items count="7">
        <item x="4"/>
        <item x="3"/>
        <item x="2"/>
        <item x="0"/>
        <item x="1"/>
        <item x="5"/>
        <item t="default"/>
      </items>
    </pivotField>
    <pivotField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sortType="descending">
      <items count="16">
        <item x="12"/>
        <item x="11"/>
        <item x="0"/>
        <item x="9"/>
        <item x="1"/>
        <item x="7"/>
        <item x="3"/>
        <item x="6"/>
        <item x="4"/>
        <item x="13"/>
        <item x="5"/>
        <item x="10"/>
        <item x="2"/>
        <item x="8"/>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1"/>
        <item x="2"/>
        <item x="3"/>
        <item x="0"/>
        <item x="4"/>
        <item t="default"/>
      </items>
    </pivotField>
    <pivotField showAll="0">
      <items count="5">
        <item h="1" x="2"/>
        <item x="0"/>
        <item h="1" x="1"/>
        <item h="1" x="3"/>
        <item t="default"/>
      </items>
    </pivotField>
    <pivotField dataField="1" showAll="0"/>
  </pivotFields>
  <rowFields count="1">
    <field x="1"/>
  </rowFields>
  <rowItems count="21">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Sales" fld="13" baseField="6"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C20" firstHeaderRow="1" firstDataRow="1" firstDataCol="0"/>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ata!$O$1:$O$21">
        <x15:activeTabTopLevelEntity name="[Range]"/>
        <x15:activeTabTopLevelEntity name="[Range1]"/>
      </x15:pivotTableUISettings>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axis="axisRow" showAll="0">
      <items count="7">
        <item x="0"/>
        <item x="1"/>
        <item x="2"/>
        <item x="3"/>
        <item x="4"/>
        <item x="5"/>
        <item t="default"/>
      </items>
    </pivotField>
  </pivotFields>
  <rowFields count="1">
    <field x="14"/>
  </rowFields>
  <rowItems count="4">
    <i>
      <x v="1"/>
    </i>
    <i>
      <x v="3"/>
    </i>
    <i>
      <x v="5"/>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7" firstHeaderRow="1" firstDataRow="1" firstDataCol="1"/>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items count="15">
        <item x="12"/>
        <item x="11"/>
        <item x="0"/>
        <item x="9"/>
        <item x="1"/>
        <item x="7"/>
        <item x="3"/>
        <item x="6"/>
        <item x="4"/>
        <item x="13"/>
        <item x="5"/>
        <item x="10"/>
        <item x="2"/>
        <item x="8"/>
        <item t="default"/>
      </items>
    </pivotField>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axis="axisRow" showAll="0">
      <items count="7">
        <item x="0"/>
        <item x="1"/>
        <item x="2"/>
        <item x="3"/>
        <item x="4"/>
        <item x="5"/>
        <item t="default"/>
      </items>
    </pivotField>
  </pivotFields>
  <rowFields count="1">
    <field x="14"/>
  </rowFields>
  <rowItems count="4">
    <i>
      <x v="1"/>
    </i>
    <i>
      <x v="3"/>
    </i>
    <i>
      <x v="5"/>
    </i>
    <i t="grand">
      <x/>
    </i>
  </rowItems>
  <colItems count="1">
    <i/>
  </colItems>
  <dataFields count="1">
    <dataField name="Sum of Sales" fld="13" baseField="0" baseItem="0"/>
  </dataFields>
  <chartFormats count="2">
    <chartFormat chart="5"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B13:C28" firstHeaderRow="1" firstDataRow="1" firstDataCol="1"/>
  <pivotFields count="2">
    <pivotField dataField="1" showAll="0"/>
    <pivotField axis="axisRow" allDrilled="1" showAll="0" dataSourceSort="1" defaultAttributeDrillState="1">
      <items count="15">
        <item x="0"/>
        <item x="1"/>
        <item x="2"/>
        <item x="3"/>
        <item x="4"/>
        <item x="5"/>
        <item x="6"/>
        <item x="7"/>
        <item x="8"/>
        <item x="9"/>
        <item x="10"/>
        <item x="11"/>
        <item x="12"/>
        <item x="13"/>
        <item t="default"/>
      </items>
    </pivotField>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1]"/>
      </x15:pivotTableUISettings>
    </ext>
  </extLst>
</pivotTableDefinition>
</file>

<file path=xl/pivotTables/pivotTable8.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axis="axisRow" showAll="0">
      <items count="7">
        <item x="0"/>
        <item x="1"/>
        <item x="2"/>
        <item x="3"/>
        <item x="4"/>
        <item x="5"/>
        <item t="default"/>
      </items>
    </pivotField>
  </pivotFields>
  <rowFields count="1">
    <field x="14"/>
  </rowFields>
  <rowItems count="4">
    <i>
      <x v="1"/>
    </i>
    <i>
      <x v="3"/>
    </i>
    <i>
      <x v="5"/>
    </i>
    <i t="grand">
      <x/>
    </i>
  </rowItems>
  <colItems count="1">
    <i/>
  </colItems>
  <dataFields count="1">
    <dataField name="Sum of Sales"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5" firstHeaderRow="1" firstDataRow="1" firstDataCol="1"/>
  <pivotFields count="15">
    <pivotField showAll="0"/>
    <pivotField showAll="0"/>
    <pivotField showAll="0"/>
    <pivotField axis="axisRow"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Fields count="1">
    <field x="3"/>
  </rowFields>
  <rowItems count="2">
    <i>
      <x/>
    </i>
    <i t="grand">
      <x/>
    </i>
  </rowItems>
  <colItems count="1">
    <i/>
  </colItems>
  <dataFields count="1">
    <dataField name="Sum of Sales"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5">
    <pivotField showAll="0"/>
    <pivotField showAll="0"/>
    <pivotField showAll="0"/>
    <pivotField showAll="0">
      <items count="6">
        <item x="4"/>
        <item h="1" x="3"/>
        <item h="1" x="2"/>
        <item h="1" x="0"/>
        <item h="1" x="1"/>
        <item t="default"/>
      </items>
    </pivotField>
    <pivotField axis="axisRow"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Fields count="1">
    <field x="4"/>
  </rowFields>
  <rowItems count="3">
    <i>
      <x v="1"/>
    </i>
    <i>
      <x v="3"/>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axis="axisRow" showAll="0">
      <items count="15">
        <item x="12"/>
        <item x="11"/>
        <item x="0"/>
        <item x="9"/>
        <item x="1"/>
        <item x="7"/>
        <item x="3"/>
        <item x="6"/>
        <item x="4"/>
        <item x="13"/>
        <item x="5"/>
        <item x="10"/>
        <item x="2"/>
        <item x="8"/>
        <item t="default"/>
      </items>
    </pivotField>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Fields count="1">
    <field x="6"/>
  </rowFields>
  <rowItems count="4">
    <i>
      <x/>
    </i>
    <i>
      <x v="3"/>
    </i>
    <i>
      <x v="10"/>
    </i>
    <i t="grand">
      <x/>
    </i>
  </rowItems>
  <colItems count="1">
    <i/>
  </colItems>
  <dataFields count="1">
    <dataField name="Sum of Sales"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Items count="1">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Items count="1">
    <i/>
  </rowItems>
  <colItems count="1">
    <i/>
  </colItems>
  <dataFields count="1">
    <dataField name="Average of Sales" fld="13" subtotal="average" baseField="0" baseItem="4339717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Items count="1">
    <i/>
  </rowItems>
  <colItems count="1">
    <i/>
  </colItems>
  <dataFields count="1">
    <dataField name="Count of Sales" fld="13" subtotal="count" baseField="0" baseItem="4339717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dataField="1" showAll="0"/>
    <pivotField showAll="0"/>
    <pivotField showAll="0"/>
    <pivotField showAll="0"/>
    <pivotField showAll="0">
      <items count="5">
        <item x="1"/>
        <item x="2"/>
        <item x="3"/>
        <item x="0"/>
        <item t="default"/>
      </items>
    </pivotField>
    <pivotField showAll="0">
      <items count="4">
        <item x="2"/>
        <item x="0"/>
        <item x="1"/>
        <item t="default"/>
      </items>
    </pivotField>
    <pivotField showAll="0"/>
    <pivotField showAll="0"/>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2:H3"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dataField="1" showAll="0"/>
    <pivotField showAll="0"/>
    <pivotField showAll="0"/>
    <pivotField showAll="0"/>
    <pivotField showAll="0">
      <items count="5">
        <item x="1"/>
        <item x="2"/>
        <item x="3"/>
        <item x="0"/>
        <item t="default"/>
      </items>
    </pivotField>
    <pivotField showAll="0">
      <items count="4">
        <item x="2"/>
        <item x="0"/>
        <item x="1"/>
        <item t="default"/>
      </items>
    </pivotField>
    <pivotField showAll="0"/>
    <pivotField showAll="0"/>
  </pivotFields>
  <rowItems count="1">
    <i/>
  </rowItems>
  <colItems count="1">
    <i/>
  </colItems>
  <dataFields count="1">
    <dataField name="Total Quantity" fld="7" baseField="0" baseItem="0"/>
  </dataFields>
  <formats count="28">
    <format dxfId="395">
      <pivotArea type="all" dataOnly="0" outline="0" fieldPosition="0"/>
    </format>
    <format dxfId="394">
      <pivotArea outline="0" collapsedLevelsAreSubtotals="1" fieldPosition="0"/>
    </format>
    <format dxfId="393">
      <pivotArea dataOnly="0" labelOnly="1" outline="0" axis="axisValues" fieldPosition="0"/>
    </format>
    <format dxfId="392">
      <pivotArea dataOnly="0" labelOnly="1" outline="0" axis="axisValues" fieldPosition="0"/>
    </format>
    <format dxfId="391">
      <pivotArea type="all" dataOnly="0" outline="0" fieldPosition="0"/>
    </format>
    <format dxfId="390">
      <pivotArea outline="0" collapsedLevelsAreSubtotals="1" fieldPosition="0"/>
    </format>
    <format dxfId="389">
      <pivotArea dataOnly="0" labelOnly="1" outline="0" axis="axisValues" fieldPosition="0"/>
    </format>
    <format dxfId="388">
      <pivotArea dataOnly="0" labelOnly="1" outline="0" axis="axisValues" fieldPosition="0"/>
    </format>
    <format dxfId="387">
      <pivotArea type="all" dataOnly="0" outline="0" fieldPosition="0"/>
    </format>
    <format dxfId="386">
      <pivotArea outline="0" collapsedLevelsAreSubtotals="1" fieldPosition="0"/>
    </format>
    <format dxfId="385">
      <pivotArea dataOnly="0" labelOnly="1" outline="0" axis="axisValues" fieldPosition="0"/>
    </format>
    <format dxfId="384">
      <pivotArea dataOnly="0" labelOnly="1" outline="0" axis="axisValues" fieldPosition="0"/>
    </format>
    <format dxfId="383">
      <pivotArea type="all" dataOnly="0" outline="0" fieldPosition="0"/>
    </format>
    <format dxfId="382">
      <pivotArea outline="0" collapsedLevelsAreSubtotals="1" fieldPosition="0"/>
    </format>
    <format dxfId="381">
      <pivotArea dataOnly="0" labelOnly="1" outline="0" axis="axisValues" fieldPosition="0"/>
    </format>
    <format dxfId="380">
      <pivotArea dataOnly="0" labelOnly="1" outline="0" axis="axisValues" fieldPosition="0"/>
    </format>
    <format dxfId="379">
      <pivotArea type="all" dataOnly="0" outline="0" fieldPosition="0"/>
    </format>
    <format dxfId="378">
      <pivotArea outline="0" collapsedLevelsAreSubtotals="1" fieldPosition="0"/>
    </format>
    <format dxfId="377">
      <pivotArea dataOnly="0" labelOnly="1" outline="0" axis="axisValues" fieldPosition="0"/>
    </format>
    <format dxfId="376">
      <pivotArea dataOnly="0" labelOnly="1" outline="0" axis="axisValues" fieldPosition="0"/>
    </format>
    <format dxfId="375">
      <pivotArea type="all" dataOnly="0" outline="0" fieldPosition="0"/>
    </format>
    <format dxfId="374">
      <pivotArea outline="0" collapsedLevelsAreSubtotals="1" fieldPosition="0"/>
    </format>
    <format dxfId="373">
      <pivotArea dataOnly="0" labelOnly="1" outline="0" axis="axisValues" fieldPosition="0"/>
    </format>
    <format dxfId="372">
      <pivotArea dataOnly="0" labelOnly="1" outline="0" axis="axisValues" fieldPosition="0"/>
    </format>
    <format dxfId="371">
      <pivotArea type="all" dataOnly="0" outline="0" fieldPosition="0"/>
    </format>
    <format dxfId="370">
      <pivotArea outline="0" collapsedLevelsAreSubtotals="1" fieldPosition="0"/>
    </format>
    <format dxfId="369">
      <pivotArea dataOnly="0" labelOnly="1" outline="0" axis="axisValues" fieldPosition="0"/>
    </format>
    <format dxfId="3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E3"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Items count="1">
    <i/>
  </rowItems>
  <colItems count="1">
    <i/>
  </colItems>
  <dataFields count="1">
    <dataField name="Total Orders" fld="13" subtotal="count" baseField="0" baseItem="433971744"/>
  </dataFields>
  <formats count="28">
    <format dxfId="811">
      <pivotArea type="all" dataOnly="0" outline="0" fieldPosition="0"/>
    </format>
    <format dxfId="810">
      <pivotArea outline="0" collapsedLevelsAreSubtotals="1" fieldPosition="0"/>
    </format>
    <format dxfId="809">
      <pivotArea dataOnly="0" labelOnly="1" outline="0" axis="axisValues" fieldPosition="0"/>
    </format>
    <format dxfId="808">
      <pivotArea dataOnly="0" labelOnly="1" outline="0" axis="axisValues" fieldPosition="0"/>
    </format>
    <format dxfId="807">
      <pivotArea type="all" dataOnly="0" outline="0" fieldPosition="0"/>
    </format>
    <format dxfId="806">
      <pivotArea outline="0" collapsedLevelsAreSubtotals="1" fieldPosition="0"/>
    </format>
    <format dxfId="805">
      <pivotArea dataOnly="0" labelOnly="1" outline="0" axis="axisValues" fieldPosition="0"/>
    </format>
    <format dxfId="804">
      <pivotArea dataOnly="0" labelOnly="1" outline="0" axis="axisValues" fieldPosition="0"/>
    </format>
    <format dxfId="803">
      <pivotArea type="all" dataOnly="0" outline="0" fieldPosition="0"/>
    </format>
    <format dxfId="802">
      <pivotArea outline="0" collapsedLevelsAreSubtotals="1" fieldPosition="0"/>
    </format>
    <format dxfId="801">
      <pivotArea dataOnly="0" labelOnly="1" outline="0" axis="axisValues" fieldPosition="0"/>
    </format>
    <format dxfId="800">
      <pivotArea dataOnly="0" labelOnly="1" outline="0" axis="axisValues" fieldPosition="0"/>
    </format>
    <format dxfId="799">
      <pivotArea type="all" dataOnly="0" outline="0" fieldPosition="0"/>
    </format>
    <format dxfId="798">
      <pivotArea outline="0" collapsedLevelsAreSubtotals="1" fieldPosition="0"/>
    </format>
    <format dxfId="797">
      <pivotArea dataOnly="0" labelOnly="1" outline="0" axis="axisValues" fieldPosition="0"/>
    </format>
    <format dxfId="796">
      <pivotArea dataOnly="0" labelOnly="1" outline="0" axis="axisValues" fieldPosition="0"/>
    </format>
    <format dxfId="795">
      <pivotArea type="all" dataOnly="0" outline="0" fieldPosition="0"/>
    </format>
    <format dxfId="794">
      <pivotArea outline="0" collapsedLevelsAreSubtotals="1" fieldPosition="0"/>
    </format>
    <format dxfId="793">
      <pivotArea dataOnly="0" labelOnly="1" outline="0" axis="axisValues" fieldPosition="0"/>
    </format>
    <format dxfId="792">
      <pivotArea dataOnly="0" labelOnly="1" outline="0" axis="axisValues" fieldPosition="0"/>
    </format>
    <format dxfId="771">
      <pivotArea type="all" dataOnly="0" outline="0" fieldPosition="0"/>
    </format>
    <format dxfId="770">
      <pivotArea outline="0" collapsedLevelsAreSubtotals="1" fieldPosition="0"/>
    </format>
    <format dxfId="769">
      <pivotArea dataOnly="0" labelOnly="1" outline="0" axis="axisValues" fieldPosition="0"/>
    </format>
    <format dxfId="768">
      <pivotArea dataOnly="0" labelOnly="1" outline="0" axis="axisValues" fieldPosition="0"/>
    </format>
    <format dxfId="767">
      <pivotArea type="all" dataOnly="0" outline="0" fieldPosition="0"/>
    </format>
    <format dxfId="766">
      <pivotArea outline="0" collapsedLevelsAreSubtotals="1" fieldPosition="0"/>
    </format>
    <format dxfId="765">
      <pivotArea dataOnly="0" labelOnly="1" outline="0" axis="axisValues" fieldPosition="0"/>
    </format>
    <format dxfId="7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K2:K3"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Items count="1">
    <i/>
  </rowItems>
  <colItems count="1">
    <i/>
  </colItems>
  <dataFields count="1">
    <dataField name="Average Sales" fld="13" subtotal="average" baseField="0" baseItem="433971744"/>
  </dataFields>
  <formats count="28">
    <format dxfId="1371">
      <pivotArea type="all" dataOnly="0" outline="0" fieldPosition="0"/>
    </format>
    <format dxfId="1370">
      <pivotArea outline="0" collapsedLevelsAreSubtotals="1" fieldPosition="0"/>
    </format>
    <format dxfId="1369">
      <pivotArea dataOnly="0" labelOnly="1" outline="0" axis="axisValues" fieldPosition="0"/>
    </format>
    <format dxfId="1368">
      <pivotArea dataOnly="0" labelOnly="1" outline="0" axis="axisValues" fieldPosition="0"/>
    </format>
    <format dxfId="1367">
      <pivotArea type="all" dataOnly="0" outline="0" fieldPosition="0"/>
    </format>
    <format dxfId="1366">
      <pivotArea outline="0" collapsedLevelsAreSubtotals="1" fieldPosition="0"/>
    </format>
    <format dxfId="1365">
      <pivotArea dataOnly="0" labelOnly="1" outline="0" axis="axisValues" fieldPosition="0"/>
    </format>
    <format dxfId="1364">
      <pivotArea dataOnly="0" labelOnly="1" outline="0" axis="axisValues" fieldPosition="0"/>
    </format>
    <format dxfId="1363">
      <pivotArea type="all" dataOnly="0" outline="0" fieldPosition="0"/>
    </format>
    <format dxfId="1362">
      <pivotArea outline="0" collapsedLevelsAreSubtotals="1" fieldPosition="0"/>
    </format>
    <format dxfId="1361">
      <pivotArea dataOnly="0" labelOnly="1" outline="0" axis="axisValues" fieldPosition="0"/>
    </format>
    <format dxfId="1360">
      <pivotArea dataOnly="0" labelOnly="1" outline="0" axis="axisValues" fieldPosition="0"/>
    </format>
    <format dxfId="1359">
      <pivotArea type="all" dataOnly="0" outline="0" fieldPosition="0"/>
    </format>
    <format dxfId="1358">
      <pivotArea outline="0" collapsedLevelsAreSubtotals="1" fieldPosition="0"/>
    </format>
    <format dxfId="1357">
      <pivotArea dataOnly="0" labelOnly="1" outline="0" axis="axisValues" fieldPosition="0"/>
    </format>
    <format dxfId="1356">
      <pivotArea dataOnly="0" labelOnly="1" outline="0" axis="axisValues" fieldPosition="0"/>
    </format>
    <format dxfId="1355">
      <pivotArea type="all" dataOnly="0" outline="0" fieldPosition="0"/>
    </format>
    <format dxfId="1354">
      <pivotArea outline="0" collapsedLevelsAreSubtotals="1" fieldPosition="0"/>
    </format>
    <format dxfId="1353">
      <pivotArea dataOnly="0" labelOnly="1" outline="0" axis="axisValues" fieldPosition="0"/>
    </format>
    <format dxfId="1352">
      <pivotArea dataOnly="0" labelOnly="1" outline="0" axis="axisValues" fieldPosition="0"/>
    </format>
    <format dxfId="1331">
      <pivotArea type="all" dataOnly="0" outline="0" fieldPosition="0"/>
    </format>
    <format dxfId="1330">
      <pivotArea outline="0" collapsedLevelsAreSubtotals="1" fieldPosition="0"/>
    </format>
    <format dxfId="1329">
      <pivotArea dataOnly="0" labelOnly="1" outline="0" axis="axisValues" fieldPosition="0"/>
    </format>
    <format dxfId="1328">
      <pivotArea dataOnly="0" labelOnly="1" outline="0" axis="axisValues" fieldPosition="0"/>
    </format>
    <format dxfId="1327">
      <pivotArea type="all" dataOnly="0" outline="0" fieldPosition="0"/>
    </format>
    <format dxfId="1326">
      <pivotArea outline="0" collapsedLevelsAreSubtotals="1" fieldPosition="0"/>
    </format>
    <format dxfId="1325">
      <pivotArea dataOnly="0" labelOnly="1" outline="0" axis="axisValues" fieldPosition="0"/>
    </format>
    <format dxfId="13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8"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B3" firstHeaderRow="1" firstDataRow="1" firstDataCol="0"/>
  <pivotFields count="15">
    <pivotField showAll="0"/>
    <pivotField showAll="0"/>
    <pivotField showAll="0"/>
    <pivotField showAll="0">
      <items count="6">
        <item x="4"/>
        <item h="1" x="3"/>
        <item h="1" x="2"/>
        <item h="1" x="0"/>
        <item h="1" x="1"/>
        <item t="default"/>
      </items>
    </pivotField>
    <pivotField showAll="0">
      <items count="5">
        <item x="2"/>
        <item x="0"/>
        <item x="1"/>
        <item x="3"/>
        <item t="default"/>
      </items>
    </pivotField>
    <pivotField showAll="0"/>
    <pivotField showAll="0"/>
    <pivotField showAll="0"/>
    <pivotField showAll="0"/>
    <pivotField showAll="0"/>
    <pivotField showAll="0"/>
    <pivotField showAll="0">
      <items count="5">
        <item x="1"/>
        <item x="2"/>
        <item x="3"/>
        <item x="0"/>
        <item t="default"/>
      </items>
    </pivotField>
    <pivotField showAll="0">
      <items count="4">
        <item x="2"/>
        <item x="0"/>
        <item x="1"/>
        <item t="default"/>
      </items>
    </pivotField>
    <pivotField dataField="1" showAll="0"/>
    <pivotField showAll="0"/>
  </pivotFields>
  <rowItems count="1">
    <i/>
  </rowItems>
  <colItems count="1">
    <i/>
  </colItems>
  <dataFields count="1">
    <dataField name="Total Sales" fld="13" baseField="0" baseItem="0"/>
  </dataFields>
  <formats count="36">
    <format dxfId="1591">
      <pivotArea type="all" dataOnly="0" outline="0" fieldPosition="0"/>
    </format>
    <format dxfId="1590">
      <pivotArea outline="0" collapsedLevelsAreSubtotals="1" fieldPosition="0"/>
    </format>
    <format dxfId="1589">
      <pivotArea dataOnly="0" labelOnly="1" outline="0" axis="axisValues" fieldPosition="0"/>
    </format>
    <format dxfId="1588">
      <pivotArea dataOnly="0" labelOnly="1" outline="0" axis="axisValues" fieldPosition="0"/>
    </format>
    <format dxfId="1587">
      <pivotArea type="all" dataOnly="0" outline="0" fieldPosition="0"/>
    </format>
    <format dxfId="1586">
      <pivotArea outline="0" collapsedLevelsAreSubtotals="1" fieldPosition="0"/>
    </format>
    <format dxfId="1585">
      <pivotArea dataOnly="0" labelOnly="1" outline="0" axis="axisValues" fieldPosition="0"/>
    </format>
    <format dxfId="1584">
      <pivotArea dataOnly="0" labelOnly="1" outline="0" axis="axisValues" fieldPosition="0"/>
    </format>
    <format dxfId="1583">
      <pivotArea type="all" dataOnly="0" outline="0" fieldPosition="0"/>
    </format>
    <format dxfId="1582">
      <pivotArea outline="0" collapsedLevelsAreSubtotals="1" fieldPosition="0"/>
    </format>
    <format dxfId="1581">
      <pivotArea dataOnly="0" labelOnly="1" outline="0" axis="axisValues" fieldPosition="0"/>
    </format>
    <format dxfId="1580">
      <pivotArea dataOnly="0" labelOnly="1" outline="0" axis="axisValues" fieldPosition="0"/>
    </format>
    <format dxfId="1579">
      <pivotArea type="all" dataOnly="0" outline="0" fieldPosition="0"/>
    </format>
    <format dxfId="1578">
      <pivotArea outline="0" collapsedLevelsAreSubtotals="1" fieldPosition="0"/>
    </format>
    <format dxfId="1577">
      <pivotArea dataOnly="0" labelOnly="1" outline="0" axis="axisValues" fieldPosition="0"/>
    </format>
    <format dxfId="1576">
      <pivotArea dataOnly="0" labelOnly="1" outline="0" axis="axisValues" fieldPosition="0"/>
    </format>
    <format dxfId="1575">
      <pivotArea type="all" dataOnly="0" outline="0" fieldPosition="0"/>
    </format>
    <format dxfId="1574">
      <pivotArea outline="0" collapsedLevelsAreSubtotals="1" fieldPosition="0"/>
    </format>
    <format dxfId="1573">
      <pivotArea dataOnly="0" labelOnly="1" outline="0" axis="axisValues" fieldPosition="0"/>
    </format>
    <format dxfId="1572">
      <pivotArea dataOnly="0" labelOnly="1" outline="0" axis="axisValues" fieldPosition="0"/>
    </format>
    <format dxfId="1531">
      <pivotArea type="all" dataOnly="0" outline="0" fieldPosition="0"/>
    </format>
    <format dxfId="1530">
      <pivotArea outline="0" collapsedLevelsAreSubtotals="1" fieldPosition="0"/>
    </format>
    <format dxfId="1529">
      <pivotArea dataOnly="0" labelOnly="1" outline="0" axis="axisValues" fieldPosition="0"/>
    </format>
    <format dxfId="1528">
      <pivotArea dataOnly="0" labelOnly="1" outline="0" axis="axisValues" fieldPosition="0"/>
    </format>
    <format dxfId="1527">
      <pivotArea type="all" dataOnly="0" outline="0" fieldPosition="0"/>
    </format>
    <format dxfId="1526">
      <pivotArea outline="0" collapsedLevelsAreSubtotals="1" fieldPosition="0"/>
    </format>
    <format dxfId="1525">
      <pivotArea dataOnly="0" labelOnly="1" outline="0" axis="axisValues" fieldPosition="0"/>
    </format>
    <format dxfId="1524">
      <pivotArea dataOnly="0" labelOnly="1" outline="0" axis="axisValues" fieldPosition="0"/>
    </format>
    <format dxfId="1523">
      <pivotArea type="all" dataOnly="0" outline="0" fieldPosition="0"/>
    </format>
    <format dxfId="1522">
      <pivotArea outline="0" collapsedLevelsAreSubtotals="1" fieldPosition="0"/>
    </format>
    <format dxfId="1521">
      <pivotArea dataOnly="0" labelOnly="1" outline="0" axis="axisValues" fieldPosition="0"/>
    </format>
    <format dxfId="1520">
      <pivotArea dataOnly="0" labelOnly="1" outline="0" axis="axisValues" fieldPosition="0"/>
    </format>
    <format dxfId="1519">
      <pivotArea type="all" dataOnly="0" outline="0" fieldPosition="0"/>
    </format>
    <format dxfId="1518">
      <pivotArea outline="0" collapsedLevelsAreSubtotals="1" fieldPosition="0"/>
    </format>
    <format dxfId="1517">
      <pivotArea dataOnly="0" labelOnly="1" outline="0" axis="axisValues" fieldPosition="0"/>
    </format>
    <format dxfId="15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B7:C12"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19">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0" name="PivotTable2"/>
    <pivotTable tabId="6" name="PivotTable4"/>
    <pivotTable tabId="9" name="PivotTable1"/>
    <pivotTable tabId="8" name="PivotTable7"/>
    <pivotTable tabId="11" name="PivotTable3"/>
    <pivotTable tabId="12" name="PivotTable4"/>
    <pivotTable tabId="13" name="PivotTable5"/>
    <pivotTable tabId="7" name="PivotTable8"/>
    <pivotTable tabId="14" name="PivotTable1"/>
    <pivotTable tabId="7" name="PivotTable2"/>
    <pivotTable tabId="15" name="PivotTable3"/>
    <pivotTable tabId="7" name="PivotTable4"/>
    <pivotTable tabId="16" name="PivotTable5"/>
    <pivotTable tabId="7" name="PivotTable7"/>
  </pivotTables>
  <data>
    <tabular pivotCacheId="3">
      <items count="5">
        <i x="4" s="1"/>
        <i x="3"/>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1" name="PivotTable3"/>
    <pivotTable tabId="12" name="PivotTable4"/>
    <pivotTable tabId="6" name="PivotTable4"/>
    <pivotTable tabId="9" name="PivotTable1"/>
    <pivotTable tabId="8" name="PivotTable7"/>
    <pivotTable tabId="10" name="PivotTable2"/>
    <pivotTable tabId="13" name="PivotTable5"/>
    <pivotTable tabId="7" name="PivotTable8"/>
    <pivotTable tabId="14" name="PivotTable1"/>
    <pivotTable tabId="7" name="PivotTable2"/>
    <pivotTable tabId="15" name="PivotTable3"/>
    <pivotTable tabId="7" name="PivotTable4"/>
    <pivotTable tabId="16" name="PivotTable5"/>
    <pivotTable tabId="7" name="PivotTable7"/>
  </pivotTables>
  <data>
    <tabular pivotCacheId="3">
      <items count="4">
        <i x="0" s="1"/>
        <i x="3" s="1"/>
        <i x="2"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Method" sourceName="PaymentMethod">
  <pivotTables>
    <pivotTable tabId="9" name="PivotTable1"/>
    <pivotTable tabId="12" name="PivotTable4"/>
    <pivotTable tabId="6" name="PivotTable4"/>
    <pivotTable tabId="8" name="PivotTable7"/>
    <pivotTable tabId="10" name="PivotTable2"/>
    <pivotTable tabId="11" name="PivotTable3"/>
    <pivotTable tabId="13" name="PivotTable5"/>
    <pivotTable tabId="7" name="PivotTable8"/>
    <pivotTable tabId="14" name="PivotTable1"/>
    <pivotTable tabId="7" name="PivotTable2"/>
    <pivotTable tabId="15" name="PivotTable3"/>
    <pivotTable tabId="7" name="PivotTable4"/>
    <pivotTable tabId="16" name="PivotTable5"/>
    <pivotTable tabId="7" name="PivotTable7"/>
  </pivotTables>
  <data>
    <tabular pivotCacheId="3">
      <items count="4">
        <i x="1" s="1"/>
        <i x="3" s="1"/>
        <i x="2" s="1" nd="1"/>
        <i x="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OrderStatus" sourceName="OrderStatus">
  <pivotTables>
    <pivotTable tabId="12" name="PivotTable4"/>
    <pivotTable tabId="6" name="PivotTable4"/>
    <pivotTable tabId="9" name="PivotTable1"/>
    <pivotTable tabId="8" name="PivotTable7"/>
    <pivotTable tabId="10" name="PivotTable2"/>
    <pivotTable tabId="11" name="PivotTable3"/>
    <pivotTable tabId="13" name="PivotTable5"/>
    <pivotTable tabId="7" name="PivotTable8"/>
    <pivotTable tabId="14" name="PivotTable1"/>
    <pivotTable tabId="7" name="PivotTable2"/>
    <pivotTable tabId="15" name="PivotTable3"/>
    <pivotTable tabId="7" name="PivotTable4"/>
    <pivotTable tabId="16" name="PivotTable5"/>
    <pivotTable tabId="7" name="PivotTable7"/>
  </pivotTables>
  <data>
    <tabular pivotCacheId="3">
      <items count="3">
        <i x="0" s="1"/>
        <i x="2"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rowHeight="241300"/>
  <slicer name="Category" cache="Slicer_Category" caption="Category" rowHeight="241300"/>
  <slicer name="PaymentMethod" cache="Slicer_PaymentMethod" caption="PaymentMethod" rowHeight="241300"/>
  <slicer name="OrderStatus" cache="Slicer_OrderStatus" caption="Order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18.xml"/><Relationship Id="rId7" Type="http://schemas.openxmlformats.org/officeDocument/2006/relationships/drawing" Target="../drawings/drawing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rinterSettings" Target="../printerSettings/printerSettings3.bin"/><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7" sqref="B7"/>
    </sheetView>
  </sheetViews>
  <sheetFormatPr defaultRowHeight="14.5" x14ac:dyDescent="0.35"/>
  <cols>
    <col min="1" max="1" width="12.36328125" bestFit="1" customWidth="1"/>
    <col min="2" max="2" width="11.26953125" bestFit="1" customWidth="1"/>
  </cols>
  <sheetData>
    <row r="3" spans="1:2" x14ac:dyDescent="0.35">
      <c r="A3" s="1" t="s">
        <v>102</v>
      </c>
      <c r="B3" t="s">
        <v>104</v>
      </c>
    </row>
    <row r="4" spans="1:2" x14ac:dyDescent="0.35">
      <c r="A4" s="2" t="s">
        <v>106</v>
      </c>
      <c r="B4" s="3">
        <v>319713</v>
      </c>
    </row>
    <row r="5" spans="1:2" x14ac:dyDescent="0.35">
      <c r="A5" s="2" t="s">
        <v>107</v>
      </c>
      <c r="B5" s="3">
        <v>319713</v>
      </c>
    </row>
    <row r="6" spans="1:2" x14ac:dyDescent="0.35">
      <c r="A6" s="2" t="s">
        <v>108</v>
      </c>
      <c r="B6" s="3">
        <v>319713</v>
      </c>
    </row>
    <row r="7" spans="1:2" x14ac:dyDescent="0.35">
      <c r="A7" s="2" t="s">
        <v>109</v>
      </c>
      <c r="B7" s="3">
        <v>319713</v>
      </c>
    </row>
    <row r="8" spans="1:2" x14ac:dyDescent="0.35">
      <c r="A8" s="2" t="s">
        <v>110</v>
      </c>
      <c r="B8" s="3">
        <v>319713</v>
      </c>
    </row>
    <row r="9" spans="1:2" x14ac:dyDescent="0.35">
      <c r="A9" s="2" t="s">
        <v>111</v>
      </c>
      <c r="B9" s="3">
        <v>319713</v>
      </c>
    </row>
    <row r="10" spans="1:2" x14ac:dyDescent="0.35">
      <c r="A10" s="2" t="s">
        <v>103</v>
      </c>
      <c r="B10" s="3">
        <v>319713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A10" sqref="A10"/>
    </sheetView>
  </sheetViews>
  <sheetFormatPr defaultRowHeight="14.5" x14ac:dyDescent="0.35"/>
  <cols>
    <col min="1" max="1" width="12.36328125" customWidth="1"/>
    <col min="2" max="2" width="11.26953125" customWidth="1"/>
    <col min="3" max="3" width="15.453125" customWidth="1"/>
    <col min="4" max="4" width="15.26953125" bestFit="1" customWidth="1"/>
    <col min="5" max="5" width="15.26953125" customWidth="1"/>
    <col min="6" max="6" width="10.7265625" customWidth="1"/>
    <col min="7" max="7" width="10.7265625" bestFit="1" customWidth="1"/>
  </cols>
  <sheetData>
    <row r="3" spans="1:2" x14ac:dyDescent="0.35">
      <c r="A3" s="1" t="s">
        <v>102</v>
      </c>
      <c r="B3" t="s">
        <v>104</v>
      </c>
    </row>
    <row r="4" spans="1:2" x14ac:dyDescent="0.35">
      <c r="A4" s="2" t="s">
        <v>97</v>
      </c>
      <c r="B4" s="3">
        <v>9000</v>
      </c>
    </row>
    <row r="5" spans="1:2" x14ac:dyDescent="0.35">
      <c r="A5" s="2" t="s">
        <v>94</v>
      </c>
      <c r="B5" s="3">
        <v>71250</v>
      </c>
    </row>
    <row r="6" spans="1:2" x14ac:dyDescent="0.35">
      <c r="A6" s="2" t="s">
        <v>91</v>
      </c>
      <c r="B6" s="3">
        <v>7225</v>
      </c>
    </row>
    <row r="7" spans="1:2" x14ac:dyDescent="0.35">
      <c r="A7" s="2" t="s">
        <v>88</v>
      </c>
      <c r="B7" s="3">
        <v>2850</v>
      </c>
    </row>
    <row r="8" spans="1:2" x14ac:dyDescent="0.35">
      <c r="A8" s="2" t="s">
        <v>85</v>
      </c>
      <c r="B8" s="3">
        <v>4048</v>
      </c>
    </row>
    <row r="9" spans="1:2" x14ac:dyDescent="0.35">
      <c r="A9" s="2" t="s">
        <v>81</v>
      </c>
      <c r="B9" s="3">
        <v>4860</v>
      </c>
    </row>
    <row r="10" spans="1:2" x14ac:dyDescent="0.35">
      <c r="A10" s="2" t="s">
        <v>77</v>
      </c>
      <c r="B10" s="3">
        <v>3200</v>
      </c>
    </row>
    <row r="11" spans="1:2" x14ac:dyDescent="0.35">
      <c r="A11" s="2" t="s">
        <v>74</v>
      </c>
      <c r="B11" s="3">
        <v>22500</v>
      </c>
    </row>
    <row r="12" spans="1:2" x14ac:dyDescent="0.35">
      <c r="A12" s="2" t="s">
        <v>71</v>
      </c>
      <c r="B12" s="3">
        <v>54560</v>
      </c>
    </row>
    <row r="13" spans="1:2" x14ac:dyDescent="0.35">
      <c r="A13" s="2" t="s">
        <v>67</v>
      </c>
      <c r="B13" s="3">
        <v>5320</v>
      </c>
    </row>
    <row r="14" spans="1:2" x14ac:dyDescent="0.35">
      <c r="A14" s="2" t="s">
        <v>63</v>
      </c>
      <c r="B14" s="3">
        <v>18040</v>
      </c>
    </row>
    <row r="15" spans="1:2" x14ac:dyDescent="0.35">
      <c r="A15" s="2" t="s">
        <v>60</v>
      </c>
      <c r="B15" s="3">
        <v>4250</v>
      </c>
    </row>
    <row r="16" spans="1:2" x14ac:dyDescent="0.35">
      <c r="A16" s="2" t="s">
        <v>57</v>
      </c>
      <c r="B16" s="3">
        <v>6300</v>
      </c>
    </row>
    <row r="17" spans="1:2" x14ac:dyDescent="0.35">
      <c r="A17" s="2" t="s">
        <v>52</v>
      </c>
      <c r="B17" s="3">
        <v>16560</v>
      </c>
    </row>
    <row r="18" spans="1:2" x14ac:dyDescent="0.35">
      <c r="A18" s="2" t="s">
        <v>45</v>
      </c>
      <c r="B18" s="3">
        <v>3960</v>
      </c>
    </row>
    <row r="19" spans="1:2" x14ac:dyDescent="0.35">
      <c r="A19" s="2" t="s">
        <v>41</v>
      </c>
      <c r="B19" s="3">
        <v>1710</v>
      </c>
    </row>
    <row r="20" spans="1:2" x14ac:dyDescent="0.35">
      <c r="A20" s="2" t="s">
        <v>34</v>
      </c>
      <c r="B20" s="3">
        <v>2880</v>
      </c>
    </row>
    <row r="21" spans="1:2" x14ac:dyDescent="0.35">
      <c r="A21" s="2" t="s">
        <v>28</v>
      </c>
      <c r="B21" s="3">
        <v>25500</v>
      </c>
    </row>
    <row r="22" spans="1:2" x14ac:dyDescent="0.35">
      <c r="A22" s="2" t="s">
        <v>22</v>
      </c>
      <c r="B22" s="3">
        <v>5700</v>
      </c>
    </row>
    <row r="23" spans="1:2" x14ac:dyDescent="0.35">
      <c r="A23" s="2" t="s">
        <v>14</v>
      </c>
      <c r="B23" s="3">
        <v>50000</v>
      </c>
    </row>
    <row r="24" spans="1:2" x14ac:dyDescent="0.35">
      <c r="A24" s="2" t="s">
        <v>103</v>
      </c>
      <c r="B24" s="3">
        <v>319713</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5" x14ac:dyDescent="0.35"/>
  <sheetData>
    <row r="3" spans="1:3" x14ac:dyDescent="0.35">
      <c r="A3" s="4"/>
      <c r="B3" s="5"/>
      <c r="C3" s="6"/>
    </row>
    <row r="4" spans="1:3" x14ac:dyDescent="0.35">
      <c r="A4" s="7"/>
      <c r="B4" s="8"/>
      <c r="C4" s="9"/>
    </row>
    <row r="5" spans="1:3" x14ac:dyDescent="0.35">
      <c r="A5" s="7"/>
      <c r="B5" s="8"/>
      <c r="C5" s="9"/>
    </row>
    <row r="6" spans="1:3" x14ac:dyDescent="0.35">
      <c r="A6" s="7"/>
      <c r="B6" s="8"/>
      <c r="C6" s="9"/>
    </row>
    <row r="7" spans="1:3" x14ac:dyDescent="0.35">
      <c r="A7" s="7"/>
      <c r="B7" s="8"/>
      <c r="C7" s="9"/>
    </row>
    <row r="8" spans="1:3" x14ac:dyDescent="0.35">
      <c r="A8" s="7"/>
      <c r="B8" s="8"/>
      <c r="C8" s="9"/>
    </row>
    <row r="9" spans="1:3" x14ac:dyDescent="0.35">
      <c r="A9" s="7"/>
      <c r="B9" s="8"/>
      <c r="C9" s="9"/>
    </row>
    <row r="10" spans="1:3" x14ac:dyDescent="0.35">
      <c r="A10" s="7"/>
      <c r="B10" s="8"/>
      <c r="C10" s="9"/>
    </row>
    <row r="11" spans="1:3" x14ac:dyDescent="0.35">
      <c r="A11" s="7"/>
      <c r="B11" s="8"/>
      <c r="C11" s="9"/>
    </row>
    <row r="12" spans="1:3" x14ac:dyDescent="0.35">
      <c r="A12" s="7"/>
      <c r="B12" s="8"/>
      <c r="C12" s="9"/>
    </row>
    <row r="13" spans="1:3" x14ac:dyDescent="0.35">
      <c r="A13" s="7"/>
      <c r="B13" s="8"/>
      <c r="C13" s="9"/>
    </row>
    <row r="14" spans="1:3" x14ac:dyDescent="0.35">
      <c r="A14" s="7"/>
      <c r="B14" s="8"/>
      <c r="C14" s="9"/>
    </row>
    <row r="15" spans="1:3" x14ac:dyDescent="0.35">
      <c r="A15" s="7"/>
      <c r="B15" s="8"/>
      <c r="C15" s="9"/>
    </row>
    <row r="16" spans="1:3" x14ac:dyDescent="0.35">
      <c r="A16" s="7"/>
      <c r="B16" s="8"/>
      <c r="C16" s="9"/>
    </row>
    <row r="17" spans="1:3" x14ac:dyDescent="0.35">
      <c r="A17" s="7"/>
      <c r="B17" s="8"/>
      <c r="C17" s="9"/>
    </row>
    <row r="18" spans="1:3" x14ac:dyDescent="0.35">
      <c r="A18" s="7"/>
      <c r="B18" s="8"/>
      <c r="C18" s="9"/>
    </row>
    <row r="19" spans="1:3" x14ac:dyDescent="0.35">
      <c r="A19" s="7"/>
      <c r="B19" s="8"/>
      <c r="C19" s="9"/>
    </row>
    <row r="20" spans="1:3" x14ac:dyDescent="0.35">
      <c r="A20" s="10"/>
      <c r="B20" s="11"/>
      <c r="C20" s="1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5" x14ac:dyDescent="0.35"/>
  <sheetData>
    <row r="3" spans="1:3" x14ac:dyDescent="0.35">
      <c r="A3" s="4"/>
      <c r="B3" s="5"/>
      <c r="C3" s="6"/>
    </row>
    <row r="4" spans="1:3" x14ac:dyDescent="0.35">
      <c r="A4" s="7"/>
      <c r="B4" s="8"/>
      <c r="C4" s="9"/>
    </row>
    <row r="5" spans="1:3" x14ac:dyDescent="0.35">
      <c r="A5" s="7"/>
      <c r="B5" s="8"/>
      <c r="C5" s="9"/>
    </row>
    <row r="6" spans="1:3" x14ac:dyDescent="0.35">
      <c r="A6" s="7"/>
      <c r="B6" s="8"/>
      <c r="C6" s="9"/>
    </row>
    <row r="7" spans="1:3" x14ac:dyDescent="0.35">
      <c r="A7" s="7"/>
      <c r="B7" s="8"/>
      <c r="C7" s="9"/>
    </row>
    <row r="8" spans="1:3" x14ac:dyDescent="0.35">
      <c r="A8" s="7"/>
      <c r="B8" s="8"/>
      <c r="C8" s="9"/>
    </row>
    <row r="9" spans="1:3" x14ac:dyDescent="0.35">
      <c r="A9" s="7"/>
      <c r="B9" s="8"/>
      <c r="C9" s="9"/>
    </row>
    <row r="10" spans="1:3" x14ac:dyDescent="0.35">
      <c r="A10" s="7"/>
      <c r="B10" s="8"/>
      <c r="C10" s="9"/>
    </row>
    <row r="11" spans="1:3" x14ac:dyDescent="0.35">
      <c r="A11" s="7"/>
      <c r="B11" s="8"/>
      <c r="C11" s="9"/>
    </row>
    <row r="12" spans="1:3" x14ac:dyDescent="0.35">
      <c r="A12" s="7"/>
      <c r="B12" s="8"/>
      <c r="C12" s="9"/>
    </row>
    <row r="13" spans="1:3" x14ac:dyDescent="0.35">
      <c r="A13" s="7"/>
      <c r="B13" s="8"/>
      <c r="C13" s="9"/>
    </row>
    <row r="14" spans="1:3" x14ac:dyDescent="0.35">
      <c r="A14" s="7"/>
      <c r="B14" s="8"/>
      <c r="C14" s="9"/>
    </row>
    <row r="15" spans="1:3" x14ac:dyDescent="0.35">
      <c r="A15" s="7"/>
      <c r="B15" s="8"/>
      <c r="C15" s="9"/>
    </row>
    <row r="16" spans="1:3" x14ac:dyDescent="0.35">
      <c r="A16" s="7"/>
      <c r="B16" s="8"/>
      <c r="C16" s="9"/>
    </row>
    <row r="17" spans="1:3" x14ac:dyDescent="0.35">
      <c r="A17" s="7"/>
      <c r="B17" s="8"/>
      <c r="C17" s="9"/>
    </row>
    <row r="18" spans="1:3" x14ac:dyDescent="0.35">
      <c r="A18" s="7"/>
      <c r="B18" s="8"/>
      <c r="C18" s="9"/>
    </row>
    <row r="19" spans="1:3" x14ac:dyDescent="0.35">
      <c r="A19" s="7"/>
      <c r="B19" s="8"/>
      <c r="C19" s="9"/>
    </row>
    <row r="20" spans="1:3" x14ac:dyDescent="0.35">
      <c r="A20" s="10"/>
      <c r="B20" s="11"/>
      <c r="C20"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4.5" x14ac:dyDescent="0.35"/>
  <cols>
    <col min="1" max="1" width="12.36328125" bestFit="1" customWidth="1"/>
    <col min="2" max="2" width="11.26953125" bestFit="1" customWidth="1"/>
  </cols>
  <sheetData>
    <row r="3" spans="1:2" x14ac:dyDescent="0.35">
      <c r="A3" s="1" t="s">
        <v>102</v>
      </c>
      <c r="B3" t="s">
        <v>104</v>
      </c>
    </row>
    <row r="4" spans="1:2" x14ac:dyDescent="0.35">
      <c r="A4" s="2" t="s">
        <v>107</v>
      </c>
      <c r="B4" s="3">
        <v>3960</v>
      </c>
    </row>
    <row r="5" spans="1:2" x14ac:dyDescent="0.35">
      <c r="A5" s="2" t="s">
        <v>106</v>
      </c>
      <c r="B5" s="3">
        <v>54560</v>
      </c>
    </row>
    <row r="6" spans="1:2" x14ac:dyDescent="0.35">
      <c r="A6" s="2" t="s">
        <v>109</v>
      </c>
      <c r="B6" s="3">
        <v>71250</v>
      </c>
    </row>
    <row r="7" spans="1:2" x14ac:dyDescent="0.35">
      <c r="A7" s="2" t="s">
        <v>103</v>
      </c>
      <c r="B7" s="3">
        <v>129770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8"/>
  <sheetViews>
    <sheetView topLeftCell="A19" workbookViewId="0">
      <selection activeCell="B25" sqref="B25"/>
    </sheetView>
  </sheetViews>
  <sheetFormatPr defaultRowHeight="14.5" x14ac:dyDescent="0.35"/>
  <cols>
    <col min="1" max="1" width="12.36328125" bestFit="1" customWidth="1"/>
    <col min="2" max="2" width="11.26953125" customWidth="1"/>
    <col min="3" max="3" width="11.26953125" bestFit="1" customWidth="1"/>
  </cols>
  <sheetData>
    <row r="3" spans="1:3" x14ac:dyDescent="0.35">
      <c r="A3" s="1" t="s">
        <v>102</v>
      </c>
      <c r="B3" t="s">
        <v>104</v>
      </c>
    </row>
    <row r="4" spans="1:3" x14ac:dyDescent="0.35">
      <c r="A4" s="2" t="s">
        <v>107</v>
      </c>
      <c r="B4" s="3">
        <v>3960</v>
      </c>
    </row>
    <row r="5" spans="1:3" x14ac:dyDescent="0.35">
      <c r="A5" s="2" t="s">
        <v>106</v>
      </c>
      <c r="B5" s="3">
        <v>54560</v>
      </c>
    </row>
    <row r="6" spans="1:3" x14ac:dyDescent="0.35">
      <c r="A6" s="2" t="s">
        <v>109</v>
      </c>
      <c r="B6" s="3">
        <v>71250</v>
      </c>
    </row>
    <row r="7" spans="1:3" x14ac:dyDescent="0.35">
      <c r="A7" s="2" t="s">
        <v>103</v>
      </c>
      <c r="B7" s="3">
        <v>129770</v>
      </c>
    </row>
    <row r="13" spans="1:3" x14ac:dyDescent="0.35">
      <c r="B13" s="1" t="s">
        <v>102</v>
      </c>
      <c r="C13" t="s">
        <v>104</v>
      </c>
    </row>
    <row r="14" spans="1:3" x14ac:dyDescent="0.35">
      <c r="B14" s="2" t="s">
        <v>96</v>
      </c>
      <c r="C14" s="3">
        <v>71250</v>
      </c>
    </row>
    <row r="15" spans="1:3" x14ac:dyDescent="0.35">
      <c r="B15" s="2" t="s">
        <v>84</v>
      </c>
      <c r="C15" s="3">
        <v>4860</v>
      </c>
    </row>
    <row r="16" spans="1:3" x14ac:dyDescent="0.35">
      <c r="B16" s="2" t="s">
        <v>19</v>
      </c>
      <c r="C16" s="3">
        <v>50000</v>
      </c>
    </row>
    <row r="17" spans="2:3" x14ac:dyDescent="0.35">
      <c r="B17" s="2" t="s">
        <v>73</v>
      </c>
      <c r="C17" s="3">
        <v>54560</v>
      </c>
    </row>
    <row r="18" spans="2:3" x14ac:dyDescent="0.35">
      <c r="B18" s="2" t="s">
        <v>26</v>
      </c>
      <c r="C18" s="3">
        <v>41725</v>
      </c>
    </row>
    <row r="19" spans="2:3" x14ac:dyDescent="0.35">
      <c r="B19" s="2" t="s">
        <v>66</v>
      </c>
      <c r="C19" s="3">
        <v>18040</v>
      </c>
    </row>
    <row r="20" spans="2:3" x14ac:dyDescent="0.35">
      <c r="B20" s="2" t="s">
        <v>39</v>
      </c>
      <c r="C20" s="3">
        <v>7130</v>
      </c>
    </row>
    <row r="21" spans="2:3" x14ac:dyDescent="0.35">
      <c r="B21" s="2" t="s">
        <v>55</v>
      </c>
      <c r="C21" s="3">
        <v>16560</v>
      </c>
    </row>
    <row r="22" spans="2:3" x14ac:dyDescent="0.35">
      <c r="B22" s="2" t="s">
        <v>44</v>
      </c>
      <c r="C22" s="3">
        <v>4560</v>
      </c>
    </row>
    <row r="23" spans="2:3" x14ac:dyDescent="0.35">
      <c r="B23" s="2" t="s">
        <v>100</v>
      </c>
      <c r="C23" s="3">
        <v>9000</v>
      </c>
    </row>
    <row r="24" spans="2:3" x14ac:dyDescent="0.35">
      <c r="B24" s="2" t="s">
        <v>50</v>
      </c>
      <c r="C24" s="3">
        <v>8008</v>
      </c>
    </row>
    <row r="25" spans="2:3" x14ac:dyDescent="0.35">
      <c r="B25" s="2" t="s">
        <v>80</v>
      </c>
      <c r="C25" s="3">
        <v>3200</v>
      </c>
    </row>
    <row r="26" spans="2:3" x14ac:dyDescent="0.35">
      <c r="B26" s="2" t="s">
        <v>32</v>
      </c>
      <c r="C26" s="3">
        <v>25500</v>
      </c>
    </row>
    <row r="27" spans="2:3" x14ac:dyDescent="0.35">
      <c r="B27" s="2" t="s">
        <v>70</v>
      </c>
      <c r="C27" s="3">
        <v>5320</v>
      </c>
    </row>
    <row r="28" spans="2:3" x14ac:dyDescent="0.35">
      <c r="B28" s="2" t="s">
        <v>103</v>
      </c>
      <c r="C28" s="3">
        <v>319713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4.5" x14ac:dyDescent="0.35"/>
  <cols>
    <col min="1" max="1" width="12.36328125" bestFit="1" customWidth="1"/>
    <col min="2" max="2" width="11.26953125" bestFit="1" customWidth="1"/>
  </cols>
  <sheetData>
    <row r="3" spans="1:2" x14ac:dyDescent="0.35">
      <c r="A3" s="1" t="s">
        <v>102</v>
      </c>
      <c r="B3" t="s">
        <v>104</v>
      </c>
    </row>
    <row r="4" spans="1:2" x14ac:dyDescent="0.35">
      <c r="A4" s="2" t="s">
        <v>107</v>
      </c>
      <c r="B4" s="3">
        <v>3960</v>
      </c>
    </row>
    <row r="5" spans="1:2" x14ac:dyDescent="0.35">
      <c r="A5" s="2" t="s">
        <v>106</v>
      </c>
      <c r="B5" s="3">
        <v>54560</v>
      </c>
    </row>
    <row r="6" spans="1:2" x14ac:dyDescent="0.35">
      <c r="A6" s="2" t="s">
        <v>109</v>
      </c>
      <c r="B6" s="3">
        <v>71250</v>
      </c>
    </row>
    <row r="7" spans="1:2" x14ac:dyDescent="0.35">
      <c r="A7" s="2" t="s">
        <v>103</v>
      </c>
      <c r="B7" s="3">
        <v>129770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S19" sqref="S19"/>
    </sheetView>
  </sheetViews>
  <sheetFormatPr defaultRowHeight="14.5" x14ac:dyDescent="0.35"/>
  <cols>
    <col min="1" max="1" width="12.36328125" bestFit="1" customWidth="1"/>
    <col min="2" max="2" width="11.26953125" bestFit="1" customWidth="1"/>
  </cols>
  <sheetData>
    <row r="3" spans="1:2" x14ac:dyDescent="0.35">
      <c r="A3" s="1" t="s">
        <v>102</v>
      </c>
      <c r="B3" t="s">
        <v>104</v>
      </c>
    </row>
    <row r="4" spans="1:2" x14ac:dyDescent="0.35">
      <c r="A4" s="2" t="s">
        <v>47</v>
      </c>
      <c r="B4" s="3">
        <v>129770</v>
      </c>
    </row>
    <row r="5" spans="1:2" x14ac:dyDescent="0.35">
      <c r="A5" s="2" t="s">
        <v>103</v>
      </c>
      <c r="B5" s="3">
        <v>129770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6" sqref="B6"/>
    </sheetView>
  </sheetViews>
  <sheetFormatPr defaultRowHeight="14.5" x14ac:dyDescent="0.35"/>
  <cols>
    <col min="1" max="1" width="12.36328125" bestFit="1" customWidth="1"/>
    <col min="2" max="2" width="11.26953125" bestFit="1" customWidth="1"/>
  </cols>
  <sheetData>
    <row r="3" spans="1:2" x14ac:dyDescent="0.35">
      <c r="A3" s="1" t="s">
        <v>102</v>
      </c>
      <c r="B3" t="s">
        <v>104</v>
      </c>
    </row>
    <row r="4" spans="1:2" x14ac:dyDescent="0.35">
      <c r="A4" s="2" t="s">
        <v>17</v>
      </c>
      <c r="B4" s="3">
        <v>125810</v>
      </c>
    </row>
    <row r="5" spans="1:2" x14ac:dyDescent="0.35">
      <c r="A5" s="2" t="s">
        <v>48</v>
      </c>
      <c r="B5" s="3">
        <v>3960</v>
      </c>
    </row>
    <row r="6" spans="1:2" x14ac:dyDescent="0.35">
      <c r="A6" s="2" t="s">
        <v>103</v>
      </c>
      <c r="B6" s="3">
        <v>129770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10" sqref="B10"/>
    </sheetView>
  </sheetViews>
  <sheetFormatPr defaultRowHeight="14.5" x14ac:dyDescent="0.35"/>
  <cols>
    <col min="1" max="1" width="12.36328125" bestFit="1" customWidth="1"/>
    <col min="2" max="2" width="11.26953125" bestFit="1" customWidth="1"/>
  </cols>
  <sheetData>
    <row r="3" spans="1:2" x14ac:dyDescent="0.35">
      <c r="A3" s="1" t="s">
        <v>102</v>
      </c>
      <c r="B3" t="s">
        <v>104</v>
      </c>
    </row>
    <row r="4" spans="1:2" x14ac:dyDescent="0.35">
      <c r="A4" s="2" t="s">
        <v>96</v>
      </c>
      <c r="B4" s="3">
        <v>71250</v>
      </c>
    </row>
    <row r="5" spans="1:2" x14ac:dyDescent="0.35">
      <c r="A5" s="2" t="s">
        <v>73</v>
      </c>
      <c r="B5" s="3">
        <v>54560</v>
      </c>
    </row>
    <row r="6" spans="1:2" x14ac:dyDescent="0.35">
      <c r="A6" s="2" t="s">
        <v>50</v>
      </c>
      <c r="B6" s="3">
        <v>3960</v>
      </c>
    </row>
    <row r="7" spans="1:2" x14ac:dyDescent="0.35">
      <c r="A7" s="2" t="s">
        <v>103</v>
      </c>
      <c r="B7" s="3">
        <v>129770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1.26953125" bestFit="1" customWidth="1"/>
  </cols>
  <sheetData>
    <row r="3" spans="1:1" x14ac:dyDescent="0.35">
      <c r="A3" t="s">
        <v>104</v>
      </c>
    </row>
    <row r="4" spans="1:1" x14ac:dyDescent="0.35">
      <c r="A4" s="3">
        <v>129770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4.453125" bestFit="1" customWidth="1"/>
  </cols>
  <sheetData>
    <row r="3" spans="1:1" x14ac:dyDescent="0.35">
      <c r="A3" t="s">
        <v>117</v>
      </c>
    </row>
    <row r="4" spans="1:1" x14ac:dyDescent="0.35">
      <c r="A4" s="3">
        <v>43256.666666666664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2.7265625" bestFit="1" customWidth="1"/>
  </cols>
  <sheetData>
    <row r="3" spans="1:1" x14ac:dyDescent="0.35">
      <c r="A3" t="s">
        <v>118</v>
      </c>
    </row>
    <row r="4" spans="1:1" x14ac:dyDescent="0.35">
      <c r="A4" s="3">
        <v>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3" sqref="A3:A4"/>
    </sheetView>
  </sheetViews>
  <sheetFormatPr defaultRowHeight="14.5" x14ac:dyDescent="0.35"/>
  <cols>
    <col min="1" max="1" width="14.54296875" bestFit="1" customWidth="1"/>
  </cols>
  <sheetData>
    <row r="3" spans="1:1" x14ac:dyDescent="0.35">
      <c r="A3" t="s">
        <v>119</v>
      </c>
    </row>
    <row r="4" spans="1:1" x14ac:dyDescent="0.35">
      <c r="A4" s="3">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workbookViewId="0">
      <selection sqref="A1:O21"/>
    </sheetView>
  </sheetViews>
  <sheetFormatPr defaultRowHeight="14.5" x14ac:dyDescent="0.35"/>
  <cols>
    <col min="2" max="2" width="8.7265625" customWidth="1"/>
    <col min="3" max="3" width="16.54296875" customWidth="1"/>
    <col min="4" max="4" width="8.7265625" customWidth="1"/>
    <col min="7" max="7" width="8.7265625" customWidth="1"/>
    <col min="12" max="12" width="15.26953125" customWidth="1"/>
    <col min="13" max="13" width="12.453125" customWidth="1"/>
    <col min="15" max="15" width="12.36328125" bestFit="1" customWidth="1"/>
    <col min="16" max="16" width="12.7265625" bestFit="1" customWidth="1"/>
  </cols>
  <sheetData>
    <row r="1" spans="1:16" x14ac:dyDescent="0.35">
      <c r="A1" t="s">
        <v>0</v>
      </c>
      <c r="B1" t="s">
        <v>1</v>
      </c>
      <c r="C1" t="s">
        <v>2</v>
      </c>
      <c r="D1" t="s">
        <v>3</v>
      </c>
      <c r="E1" t="s">
        <v>4</v>
      </c>
      <c r="F1" t="s">
        <v>5</v>
      </c>
      <c r="G1" t="s">
        <v>6</v>
      </c>
      <c r="H1" t="s">
        <v>7</v>
      </c>
      <c r="I1" t="s">
        <v>8</v>
      </c>
      <c r="J1" t="s">
        <v>9</v>
      </c>
      <c r="K1" t="s">
        <v>10</v>
      </c>
      <c r="L1" t="s">
        <v>11</v>
      </c>
      <c r="M1" t="s">
        <v>12</v>
      </c>
      <c r="N1" t="s">
        <v>13</v>
      </c>
      <c r="O1" t="s">
        <v>105</v>
      </c>
    </row>
    <row r="2" spans="1:16" x14ac:dyDescent="0.35">
      <c r="A2">
        <v>1001</v>
      </c>
      <c r="B2" t="s">
        <v>14</v>
      </c>
      <c r="C2" t="s">
        <v>15</v>
      </c>
      <c r="D2" t="s">
        <v>16</v>
      </c>
      <c r="E2" t="s">
        <v>17</v>
      </c>
      <c r="F2" t="s">
        <v>18</v>
      </c>
      <c r="G2" t="s">
        <v>19</v>
      </c>
      <c r="H2">
        <v>1</v>
      </c>
      <c r="I2">
        <v>55000</v>
      </c>
      <c r="J2">
        <v>10</v>
      </c>
      <c r="K2">
        <v>500</v>
      </c>
      <c r="L2" t="s">
        <v>20</v>
      </c>
      <c r="M2" t="s">
        <v>21</v>
      </c>
      <c r="N2">
        <v>50000</v>
      </c>
      <c r="O2" t="str">
        <f>TEXT(B2,"mmmm")</f>
        <v>January</v>
      </c>
    </row>
    <row r="3" spans="1:16" x14ac:dyDescent="0.35">
      <c r="A3">
        <v>1002</v>
      </c>
      <c r="B3" t="s">
        <v>22</v>
      </c>
      <c r="C3" t="s">
        <v>101</v>
      </c>
      <c r="D3" t="s">
        <v>23</v>
      </c>
      <c r="E3" t="s">
        <v>24</v>
      </c>
      <c r="F3" t="s">
        <v>25</v>
      </c>
      <c r="G3" t="s">
        <v>26</v>
      </c>
      <c r="H3">
        <v>2</v>
      </c>
      <c r="I3">
        <v>3000</v>
      </c>
      <c r="J3">
        <v>5</v>
      </c>
      <c r="K3">
        <v>200</v>
      </c>
      <c r="L3" t="s">
        <v>27</v>
      </c>
      <c r="M3" t="s">
        <v>21</v>
      </c>
      <c r="N3">
        <v>5700</v>
      </c>
      <c r="O3" t="str">
        <f t="shared" ref="O3:O21" si="0">TEXT(B3,"mmmm")</f>
        <v>January</v>
      </c>
    </row>
    <row r="4" spans="1:16" x14ac:dyDescent="0.35">
      <c r="A4">
        <v>1003</v>
      </c>
      <c r="B4" t="s">
        <v>28</v>
      </c>
      <c r="C4" t="s">
        <v>29</v>
      </c>
      <c r="D4" t="s">
        <v>30</v>
      </c>
      <c r="E4" t="s">
        <v>17</v>
      </c>
      <c r="F4" t="s">
        <v>31</v>
      </c>
      <c r="G4" t="s">
        <v>32</v>
      </c>
      <c r="H4">
        <v>1</v>
      </c>
      <c r="I4">
        <v>30000</v>
      </c>
      <c r="J4">
        <v>15</v>
      </c>
      <c r="K4">
        <v>250</v>
      </c>
      <c r="L4" t="s">
        <v>33</v>
      </c>
      <c r="M4" t="s">
        <v>21</v>
      </c>
      <c r="N4">
        <v>25500</v>
      </c>
      <c r="O4" t="str">
        <f t="shared" si="0"/>
        <v>January</v>
      </c>
    </row>
    <row r="5" spans="1:16" x14ac:dyDescent="0.35">
      <c r="A5">
        <v>1004</v>
      </c>
      <c r="B5" t="s">
        <v>34</v>
      </c>
      <c r="C5" t="s">
        <v>35</v>
      </c>
      <c r="D5" t="s">
        <v>36</v>
      </c>
      <c r="E5" t="s">
        <v>37</v>
      </c>
      <c r="F5" t="s">
        <v>38</v>
      </c>
      <c r="G5" t="s">
        <v>39</v>
      </c>
      <c r="H5">
        <v>3</v>
      </c>
      <c r="I5">
        <v>1200</v>
      </c>
      <c r="J5">
        <v>20</v>
      </c>
      <c r="K5">
        <v>100</v>
      </c>
      <c r="L5" t="s">
        <v>20</v>
      </c>
      <c r="M5" t="s">
        <v>40</v>
      </c>
      <c r="N5">
        <v>2880</v>
      </c>
      <c r="O5" t="str">
        <f t="shared" si="0"/>
        <v>January</v>
      </c>
    </row>
    <row r="6" spans="1:16" x14ac:dyDescent="0.35">
      <c r="A6">
        <v>1005</v>
      </c>
      <c r="B6" t="s">
        <v>41</v>
      </c>
      <c r="C6" t="s">
        <v>42</v>
      </c>
      <c r="D6" t="s">
        <v>16</v>
      </c>
      <c r="E6" t="s">
        <v>17</v>
      </c>
      <c r="F6" t="s">
        <v>43</v>
      </c>
      <c r="G6" t="s">
        <v>44</v>
      </c>
      <c r="H6">
        <v>2</v>
      </c>
      <c r="I6">
        <v>900</v>
      </c>
      <c r="J6">
        <v>5</v>
      </c>
      <c r="K6">
        <v>50</v>
      </c>
      <c r="L6" t="s">
        <v>27</v>
      </c>
      <c r="M6" t="s">
        <v>21</v>
      </c>
      <c r="N6">
        <v>1710</v>
      </c>
      <c r="O6" t="str">
        <f t="shared" si="0"/>
        <v>February</v>
      </c>
    </row>
    <row r="7" spans="1:16" x14ac:dyDescent="0.35">
      <c r="A7">
        <v>1006</v>
      </c>
      <c r="B7" t="s">
        <v>45</v>
      </c>
      <c r="C7" t="s">
        <v>46</v>
      </c>
      <c r="D7" t="s">
        <v>47</v>
      </c>
      <c r="E7" t="s">
        <v>48</v>
      </c>
      <c r="F7" t="s">
        <v>49</v>
      </c>
      <c r="G7" t="s">
        <v>50</v>
      </c>
      <c r="H7">
        <v>1</v>
      </c>
      <c r="I7">
        <v>4500</v>
      </c>
      <c r="J7">
        <v>12</v>
      </c>
      <c r="K7">
        <v>150</v>
      </c>
      <c r="L7" t="s">
        <v>51</v>
      </c>
      <c r="M7" t="s">
        <v>21</v>
      </c>
      <c r="N7">
        <v>3960</v>
      </c>
      <c r="O7" t="str">
        <f t="shared" si="0"/>
        <v>February</v>
      </c>
    </row>
    <row r="8" spans="1:16" x14ac:dyDescent="0.35">
      <c r="A8">
        <v>1007</v>
      </c>
      <c r="B8" t="s">
        <v>52</v>
      </c>
      <c r="C8" t="s">
        <v>53</v>
      </c>
      <c r="D8" t="s">
        <v>23</v>
      </c>
      <c r="E8" t="s">
        <v>17</v>
      </c>
      <c r="F8" t="s">
        <v>54</v>
      </c>
      <c r="G8" t="s">
        <v>55</v>
      </c>
      <c r="H8">
        <v>1</v>
      </c>
      <c r="I8">
        <v>18000</v>
      </c>
      <c r="J8">
        <v>8</v>
      </c>
      <c r="K8">
        <v>300</v>
      </c>
      <c r="L8" t="s">
        <v>20</v>
      </c>
      <c r="M8" t="s">
        <v>56</v>
      </c>
      <c r="N8">
        <v>16560</v>
      </c>
      <c r="O8" t="str">
        <f t="shared" si="0"/>
        <v>February</v>
      </c>
    </row>
    <row r="9" spans="1:16" x14ac:dyDescent="0.35">
      <c r="A9">
        <v>1008</v>
      </c>
      <c r="B9" t="s">
        <v>57</v>
      </c>
      <c r="C9" t="s">
        <v>58</v>
      </c>
      <c r="D9" t="s">
        <v>30</v>
      </c>
      <c r="E9" t="s">
        <v>24</v>
      </c>
      <c r="F9" t="s">
        <v>59</v>
      </c>
      <c r="G9" t="s">
        <v>26</v>
      </c>
      <c r="H9">
        <v>1</v>
      </c>
      <c r="I9">
        <v>7000</v>
      </c>
      <c r="J9">
        <v>10</v>
      </c>
      <c r="K9">
        <v>250</v>
      </c>
      <c r="L9" t="s">
        <v>27</v>
      </c>
      <c r="M9" t="s">
        <v>21</v>
      </c>
      <c r="N9">
        <v>6300</v>
      </c>
      <c r="O9" t="str">
        <f t="shared" si="0"/>
        <v>March</v>
      </c>
    </row>
    <row r="10" spans="1:16" x14ac:dyDescent="0.35">
      <c r="A10">
        <v>1009</v>
      </c>
      <c r="B10" t="s">
        <v>60</v>
      </c>
      <c r="C10" t="s">
        <v>61</v>
      </c>
      <c r="D10" t="s">
        <v>16</v>
      </c>
      <c r="E10" t="s">
        <v>37</v>
      </c>
      <c r="F10" t="s">
        <v>62</v>
      </c>
      <c r="G10" t="s">
        <v>39</v>
      </c>
      <c r="H10">
        <v>2</v>
      </c>
      <c r="I10">
        <v>2500</v>
      </c>
      <c r="J10">
        <v>15</v>
      </c>
      <c r="K10">
        <v>100</v>
      </c>
      <c r="L10" t="s">
        <v>33</v>
      </c>
      <c r="M10" t="s">
        <v>21</v>
      </c>
      <c r="N10">
        <v>4250</v>
      </c>
      <c r="O10" t="str">
        <f t="shared" si="0"/>
        <v>March</v>
      </c>
    </row>
    <row r="11" spans="1:16" x14ac:dyDescent="0.35">
      <c r="A11">
        <v>1010</v>
      </c>
      <c r="B11" t="s">
        <v>63</v>
      </c>
      <c r="C11" t="s">
        <v>64</v>
      </c>
      <c r="D11" t="s">
        <v>36</v>
      </c>
      <c r="E11" t="s">
        <v>17</v>
      </c>
      <c r="F11" t="s">
        <v>65</v>
      </c>
      <c r="G11" t="s">
        <v>66</v>
      </c>
      <c r="H11">
        <v>1</v>
      </c>
      <c r="I11">
        <v>22000</v>
      </c>
      <c r="J11">
        <v>18</v>
      </c>
      <c r="K11">
        <v>200</v>
      </c>
      <c r="L11" t="s">
        <v>20</v>
      </c>
      <c r="M11" t="s">
        <v>21</v>
      </c>
      <c r="N11">
        <v>18040</v>
      </c>
      <c r="O11" t="str">
        <f t="shared" si="0"/>
        <v>March</v>
      </c>
    </row>
    <row r="12" spans="1:16" x14ac:dyDescent="0.35">
      <c r="A12">
        <v>1011</v>
      </c>
      <c r="B12" t="s">
        <v>67</v>
      </c>
      <c r="C12" t="s">
        <v>68</v>
      </c>
      <c r="D12" t="s">
        <v>23</v>
      </c>
      <c r="E12" t="s">
        <v>48</v>
      </c>
      <c r="F12" t="s">
        <v>69</v>
      </c>
      <c r="G12" t="s">
        <v>70</v>
      </c>
      <c r="H12">
        <v>2</v>
      </c>
      <c r="I12">
        <v>2800</v>
      </c>
      <c r="J12">
        <v>5</v>
      </c>
      <c r="K12">
        <v>150</v>
      </c>
      <c r="L12" t="s">
        <v>27</v>
      </c>
      <c r="M12" t="s">
        <v>40</v>
      </c>
      <c r="N12">
        <v>5320</v>
      </c>
      <c r="O12" t="str">
        <f t="shared" si="0"/>
        <v>April</v>
      </c>
    </row>
    <row r="13" spans="1:16" x14ac:dyDescent="0.35">
      <c r="A13">
        <v>1012</v>
      </c>
      <c r="B13" t="s">
        <v>71</v>
      </c>
      <c r="C13" t="s">
        <v>72</v>
      </c>
      <c r="D13" t="s">
        <v>47</v>
      </c>
      <c r="E13" t="s">
        <v>17</v>
      </c>
      <c r="F13" t="s">
        <v>18</v>
      </c>
      <c r="G13" t="s">
        <v>73</v>
      </c>
      <c r="H13">
        <v>1</v>
      </c>
      <c r="I13">
        <v>62000</v>
      </c>
      <c r="J13">
        <v>12</v>
      </c>
      <c r="K13">
        <v>500</v>
      </c>
      <c r="L13" t="s">
        <v>51</v>
      </c>
      <c r="M13" t="s">
        <v>21</v>
      </c>
      <c r="N13">
        <v>54560</v>
      </c>
      <c r="O13" t="str">
        <f t="shared" si="0"/>
        <v>April</v>
      </c>
    </row>
    <row r="14" spans="1:16" x14ac:dyDescent="0.35">
      <c r="A14">
        <v>1013</v>
      </c>
      <c r="B14" t="s">
        <v>74</v>
      </c>
      <c r="C14" t="s">
        <v>75</v>
      </c>
      <c r="D14" t="s">
        <v>30</v>
      </c>
      <c r="E14" t="s">
        <v>24</v>
      </c>
      <c r="F14" t="s">
        <v>76</v>
      </c>
      <c r="G14" t="s">
        <v>26</v>
      </c>
      <c r="H14">
        <v>1</v>
      </c>
      <c r="I14">
        <v>25000</v>
      </c>
      <c r="J14">
        <v>10</v>
      </c>
      <c r="K14">
        <v>600</v>
      </c>
      <c r="L14" t="s">
        <v>27</v>
      </c>
      <c r="M14" t="s">
        <v>21</v>
      </c>
      <c r="N14">
        <v>22500</v>
      </c>
      <c r="O14" t="str">
        <f t="shared" si="0"/>
        <v>April</v>
      </c>
      <c r="P14" s="3"/>
    </row>
    <row r="15" spans="1:16" x14ac:dyDescent="0.35">
      <c r="A15">
        <v>1014</v>
      </c>
      <c r="B15" t="s">
        <v>77</v>
      </c>
      <c r="C15" t="s">
        <v>78</v>
      </c>
      <c r="D15" t="s">
        <v>16</v>
      </c>
      <c r="E15" t="s">
        <v>37</v>
      </c>
      <c r="F15" t="s">
        <v>79</v>
      </c>
      <c r="G15" t="s">
        <v>80</v>
      </c>
      <c r="H15">
        <v>1</v>
      </c>
      <c r="I15">
        <v>4000</v>
      </c>
      <c r="J15">
        <v>20</v>
      </c>
      <c r="K15">
        <v>150</v>
      </c>
      <c r="L15" t="s">
        <v>20</v>
      </c>
      <c r="M15" t="s">
        <v>21</v>
      </c>
      <c r="N15">
        <v>3200</v>
      </c>
      <c r="O15" t="str">
        <f t="shared" si="0"/>
        <v>May</v>
      </c>
      <c r="P15" s="3"/>
    </row>
    <row r="16" spans="1:16" x14ac:dyDescent="0.35">
      <c r="A16">
        <v>1015</v>
      </c>
      <c r="B16" t="s">
        <v>81</v>
      </c>
      <c r="C16" t="s">
        <v>82</v>
      </c>
      <c r="D16" t="s">
        <v>23</v>
      </c>
      <c r="E16" t="s">
        <v>17</v>
      </c>
      <c r="F16" t="s">
        <v>83</v>
      </c>
      <c r="G16" t="s">
        <v>84</v>
      </c>
      <c r="H16">
        <v>3</v>
      </c>
      <c r="I16">
        <v>1800</v>
      </c>
      <c r="J16">
        <v>10</v>
      </c>
      <c r="K16">
        <v>80</v>
      </c>
      <c r="L16" t="s">
        <v>33</v>
      </c>
      <c r="M16" t="s">
        <v>21</v>
      </c>
      <c r="N16">
        <v>4860</v>
      </c>
      <c r="O16" t="str">
        <f t="shared" si="0"/>
        <v>May</v>
      </c>
      <c r="P16" s="3"/>
    </row>
    <row r="17" spans="1:16" x14ac:dyDescent="0.35">
      <c r="A17">
        <v>1016</v>
      </c>
      <c r="B17" t="s">
        <v>85</v>
      </c>
      <c r="C17" t="s">
        <v>86</v>
      </c>
      <c r="D17" t="s">
        <v>36</v>
      </c>
      <c r="E17" t="s">
        <v>48</v>
      </c>
      <c r="F17" t="s">
        <v>87</v>
      </c>
      <c r="G17" t="s">
        <v>50</v>
      </c>
      <c r="H17">
        <v>2</v>
      </c>
      <c r="I17">
        <v>2200</v>
      </c>
      <c r="J17">
        <v>8</v>
      </c>
      <c r="K17">
        <v>100</v>
      </c>
      <c r="L17" t="s">
        <v>20</v>
      </c>
      <c r="M17" t="s">
        <v>56</v>
      </c>
      <c r="N17">
        <v>4048</v>
      </c>
      <c r="O17" t="str">
        <f t="shared" si="0"/>
        <v>May</v>
      </c>
      <c r="P17" s="3"/>
    </row>
    <row r="18" spans="1:16" x14ac:dyDescent="0.35">
      <c r="A18">
        <v>1017</v>
      </c>
      <c r="B18" t="s">
        <v>88</v>
      </c>
      <c r="C18" t="s">
        <v>89</v>
      </c>
      <c r="D18" t="s">
        <v>30</v>
      </c>
      <c r="E18" t="s">
        <v>17</v>
      </c>
      <c r="F18" t="s">
        <v>90</v>
      </c>
      <c r="G18" t="s">
        <v>44</v>
      </c>
      <c r="H18">
        <v>2</v>
      </c>
      <c r="I18">
        <v>1500</v>
      </c>
      <c r="J18">
        <v>5</v>
      </c>
      <c r="K18">
        <v>60</v>
      </c>
      <c r="L18" t="s">
        <v>27</v>
      </c>
      <c r="M18" t="s">
        <v>21</v>
      </c>
      <c r="N18">
        <v>2850</v>
      </c>
      <c r="O18" t="str">
        <f t="shared" si="0"/>
        <v>June</v>
      </c>
      <c r="P18" s="3"/>
    </row>
    <row r="19" spans="1:16" x14ac:dyDescent="0.35">
      <c r="A19">
        <v>1018</v>
      </c>
      <c r="B19" t="s">
        <v>91</v>
      </c>
      <c r="C19" t="s">
        <v>92</v>
      </c>
      <c r="D19" t="s">
        <v>16</v>
      </c>
      <c r="E19" t="s">
        <v>24</v>
      </c>
      <c r="F19" t="s">
        <v>93</v>
      </c>
      <c r="G19" t="s">
        <v>26</v>
      </c>
      <c r="H19">
        <v>1</v>
      </c>
      <c r="I19">
        <v>8500</v>
      </c>
      <c r="J19">
        <v>15</v>
      </c>
      <c r="K19">
        <v>200</v>
      </c>
      <c r="L19" t="s">
        <v>51</v>
      </c>
      <c r="M19" t="s">
        <v>21</v>
      </c>
      <c r="N19">
        <v>7225</v>
      </c>
      <c r="O19" t="str">
        <f t="shared" si="0"/>
        <v>June</v>
      </c>
      <c r="P19" s="3"/>
    </row>
    <row r="20" spans="1:16" x14ac:dyDescent="0.35">
      <c r="A20">
        <v>1019</v>
      </c>
      <c r="B20" t="s">
        <v>94</v>
      </c>
      <c r="C20" t="s">
        <v>95</v>
      </c>
      <c r="D20" t="s">
        <v>47</v>
      </c>
      <c r="E20" t="s">
        <v>17</v>
      </c>
      <c r="F20" t="s">
        <v>31</v>
      </c>
      <c r="G20" t="s">
        <v>96</v>
      </c>
      <c r="H20">
        <v>1</v>
      </c>
      <c r="I20">
        <v>75000</v>
      </c>
      <c r="J20">
        <v>5</v>
      </c>
      <c r="K20">
        <v>500</v>
      </c>
      <c r="L20" t="s">
        <v>27</v>
      </c>
      <c r="M20" t="s">
        <v>21</v>
      </c>
      <c r="N20">
        <v>71250</v>
      </c>
      <c r="O20" t="str">
        <f t="shared" si="0"/>
        <v>June</v>
      </c>
    </row>
    <row r="21" spans="1:16" x14ac:dyDescent="0.35">
      <c r="A21">
        <v>1020</v>
      </c>
      <c r="B21" t="s">
        <v>97</v>
      </c>
      <c r="C21" t="s">
        <v>98</v>
      </c>
      <c r="D21" t="s">
        <v>23</v>
      </c>
      <c r="E21" t="s">
        <v>37</v>
      </c>
      <c r="F21" t="s">
        <v>99</v>
      </c>
      <c r="G21" t="s">
        <v>100</v>
      </c>
      <c r="H21">
        <v>2</v>
      </c>
      <c r="I21">
        <v>5000</v>
      </c>
      <c r="J21">
        <v>10</v>
      </c>
      <c r="K21">
        <v>120</v>
      </c>
      <c r="L21" t="s">
        <v>20</v>
      </c>
      <c r="M21" t="s">
        <v>21</v>
      </c>
      <c r="N21">
        <v>9000</v>
      </c>
      <c r="O21" t="str">
        <f t="shared" si="0"/>
        <v>June</v>
      </c>
    </row>
  </sheetData>
  <pageMargins left="0.75" right="0.75" top="1" bottom="1"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5"/>
  <sheetViews>
    <sheetView tabSelected="1" zoomScale="66" zoomScaleNormal="66" workbookViewId="0">
      <selection activeCell="O21" sqref="O21"/>
    </sheetView>
  </sheetViews>
  <sheetFormatPr defaultRowHeight="14.5" x14ac:dyDescent="0.35"/>
  <cols>
    <col min="2" max="2" width="14" customWidth="1"/>
    <col min="3" max="3" width="11.6328125" bestFit="1" customWidth="1"/>
    <col min="5" max="5" width="16.08984375" customWidth="1"/>
    <col min="8" max="8" width="18" customWidth="1"/>
    <col min="11" max="11" width="17.453125" customWidth="1"/>
    <col min="13" max="13" width="12.36328125" bestFit="1" customWidth="1"/>
    <col min="14" max="14" width="11.26953125" bestFit="1" customWidth="1"/>
  </cols>
  <sheetData>
    <row r="1" spans="2:11" ht="55" customHeight="1" thickBot="1" x14ac:dyDescent="0.4">
      <c r="D1" s="15" t="s">
        <v>115</v>
      </c>
      <c r="E1" s="16"/>
      <c r="F1" s="16"/>
      <c r="G1" s="16"/>
      <c r="H1" s="16"/>
      <c r="I1" s="16"/>
      <c r="K1" s="13"/>
    </row>
    <row r="2" spans="2:11" s="14" customFormat="1" ht="18" thickBot="1" x14ac:dyDescent="0.4">
      <c r="B2" s="17" t="s">
        <v>116</v>
      </c>
      <c r="E2" s="17" t="s">
        <v>112</v>
      </c>
      <c r="H2" s="17" t="s">
        <v>113</v>
      </c>
      <c r="K2" s="17" t="s">
        <v>114</v>
      </c>
    </row>
    <row r="3" spans="2:11" s="14" customFormat="1" ht="18" thickBot="1" x14ac:dyDescent="0.4">
      <c r="B3" s="18">
        <v>129770</v>
      </c>
      <c r="E3" s="18">
        <v>3</v>
      </c>
      <c r="H3" s="18">
        <v>3</v>
      </c>
      <c r="K3" s="18">
        <v>43256.666666666664</v>
      </c>
    </row>
    <row r="4" spans="2:11" x14ac:dyDescent="0.35">
      <c r="K4" s="14"/>
    </row>
    <row r="7" spans="2:11" x14ac:dyDescent="0.35">
      <c r="B7" s="1" t="s">
        <v>102</v>
      </c>
      <c r="C7" t="s">
        <v>104</v>
      </c>
    </row>
    <row r="8" spans="2:11" x14ac:dyDescent="0.35">
      <c r="B8" s="2" t="s">
        <v>37</v>
      </c>
      <c r="C8" s="3">
        <v>19330</v>
      </c>
    </row>
    <row r="9" spans="2:11" x14ac:dyDescent="0.35">
      <c r="B9" s="2" t="s">
        <v>17</v>
      </c>
      <c r="C9" s="3">
        <v>245330</v>
      </c>
    </row>
    <row r="10" spans="2:11" x14ac:dyDescent="0.35">
      <c r="B10" s="2" t="s">
        <v>24</v>
      </c>
      <c r="C10" s="3">
        <v>41725</v>
      </c>
    </row>
    <row r="11" spans="2:11" x14ac:dyDescent="0.35">
      <c r="B11" s="2" t="s">
        <v>48</v>
      </c>
      <c r="C11" s="3">
        <v>13328</v>
      </c>
    </row>
    <row r="12" spans="2:11" x14ac:dyDescent="0.35">
      <c r="B12" s="2" t="s">
        <v>103</v>
      </c>
      <c r="C12" s="3">
        <v>319713</v>
      </c>
    </row>
    <row r="20" spans="13:15" x14ac:dyDescent="0.35">
      <c r="M20" s="2"/>
      <c r="N20" s="3"/>
    </row>
    <row r="21" spans="13:15" x14ac:dyDescent="0.35">
      <c r="M21" s="2"/>
      <c r="N21" s="3"/>
      <c r="O21" t="s">
        <v>120</v>
      </c>
    </row>
    <row r="22" spans="13:15" x14ac:dyDescent="0.35">
      <c r="M22" s="2"/>
      <c r="N22" s="3"/>
    </row>
    <row r="23" spans="13:15" x14ac:dyDescent="0.35">
      <c r="M23" s="2"/>
      <c r="N23" s="3"/>
    </row>
    <row r="24" spans="13:15" x14ac:dyDescent="0.35">
      <c r="M24" s="2"/>
      <c r="N24" s="3"/>
    </row>
    <row r="25" spans="13:15" x14ac:dyDescent="0.35">
      <c r="M25" s="2"/>
      <c r="N25" s="3"/>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Sheet4</vt:lpstr>
      <vt:lpstr>Sheet1</vt:lpstr>
      <vt:lpstr>Sheet3</vt:lpstr>
      <vt:lpstr>Sheet2</vt:lpstr>
      <vt:lpstr>Sheet5</vt:lpstr>
      <vt:lpstr>Sheet7</vt:lpstr>
      <vt:lpstr>Sheet6</vt:lpstr>
      <vt:lpstr>Sheet8</vt:lpstr>
      <vt:lpstr>Sheet9</vt:lpstr>
      <vt:lpstr>Sheet10</vt:lpstr>
      <vt:lpstr>Sheet11</vt:lpstr>
      <vt:lpstr>Sheet12</vt:lpstr>
      <vt:lpstr>Sheet13</vt:lpstr>
      <vt:lpstr>Sheet14</vt:lpstr>
      <vt:lpstr>SalesData</vt:lpstr>
      <vt:lpstr>Amazon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2026-08-07T16:13:00Z</dcterms:created>
  <dcterms:modified xsi:type="dcterms:W3CDTF">2026-08-08T12:21:23Z</dcterms:modified>
</cp:coreProperties>
</file>